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f2e7c11a7eaf16/000 OneDrive/"/>
    </mc:Choice>
  </mc:AlternateContent>
  <xr:revisionPtr revIDLastSave="24807" documentId="14_{47614447-82A4-444F-A053-55EA1B57FF43}" xr6:coauthVersionLast="47" xr6:coauthVersionMax="47" xr10:uidLastSave="{DF3F0BB8-64B1-486C-95A7-0668D0B5C5F6}"/>
  <bookViews>
    <workbookView xWindow="-104" yWindow="-104" windowWidth="20098" windowHeight="10671" tabRatio="675" firstSheet="5" activeTab="5" xr2:uid="{00000000-000D-0000-FFFF-FFFF00000000}"/>
  </bookViews>
  <sheets>
    <sheet name="Nov2025" sheetId="39" r:id="rId1"/>
    <sheet name="Dec2025" sheetId="38" r:id="rId2"/>
    <sheet name="Jan2026" sheetId="43" r:id="rId3"/>
    <sheet name="Feb2026" sheetId="44" r:id="rId4"/>
    <sheet name="Mar2026" sheetId="45" r:id="rId5"/>
    <sheet name="Apr2026" sheetId="46" r:id="rId6"/>
    <sheet name="May2026 " sheetId="47" r:id="rId7"/>
    <sheet name="Jun2026" sheetId="48" r:id="rId8"/>
    <sheet name="July2026" sheetId="49" r:id="rId9"/>
    <sheet name="Aug2026" sheetId="50" r:id="rId10"/>
    <sheet name="Sep2026" sheetId="51" r:id="rId11"/>
    <sheet name="Oct2026" sheetId="52" r:id="rId12"/>
    <sheet name="Nov2026" sheetId="54" r:id="rId13"/>
    <sheet name="Dec2026" sheetId="55" r:id="rId14"/>
    <sheet name="Jan2027" sheetId="56" r:id="rId15"/>
    <sheet name="Feb2027" sheetId="57" r:id="rId16"/>
    <sheet name="Sheet1" sheetId="58" r:id="rId17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" i="47" l="1"/>
  <c r="AE27" i="47"/>
  <c r="AD28" i="47"/>
  <c r="AE28" i="47"/>
  <c r="AD29" i="47"/>
  <c r="AE29" i="47"/>
  <c r="AD30" i="47"/>
  <c r="AE30" i="47"/>
  <c r="AD31" i="47"/>
  <c r="AE31" i="47"/>
  <c r="AD32" i="47"/>
  <c r="AE32" i="47"/>
  <c r="AD33" i="47"/>
  <c r="AE33" i="47"/>
  <c r="J30" i="46"/>
  <c r="K30" i="46"/>
  <c r="L30" i="46"/>
  <c r="M30" i="46"/>
  <c r="J31" i="46"/>
  <c r="K31" i="46"/>
  <c r="L31" i="46"/>
  <c r="M31" i="46"/>
  <c r="J32" i="46"/>
  <c r="K32" i="46"/>
  <c r="L32" i="46"/>
  <c r="M32" i="46"/>
  <c r="J33" i="46"/>
  <c r="K33" i="46"/>
  <c r="L33" i="46"/>
  <c r="M33" i="46"/>
  <c r="J34" i="46"/>
  <c r="K34" i="46"/>
  <c r="L34" i="46"/>
  <c r="M34" i="46"/>
  <c r="D26" i="50"/>
  <c r="E26" i="50"/>
  <c r="F26" i="50"/>
  <c r="G26" i="50"/>
  <c r="H26" i="50"/>
  <c r="I26" i="50"/>
  <c r="J26" i="50"/>
  <c r="K26" i="50"/>
  <c r="K18" i="50" s="1"/>
  <c r="L26" i="50"/>
  <c r="M26" i="50"/>
  <c r="N26" i="50"/>
  <c r="O26" i="50"/>
  <c r="P26" i="50"/>
  <c r="Q26" i="50"/>
  <c r="R26" i="50"/>
  <c r="S26" i="50"/>
  <c r="T26" i="50"/>
  <c r="U26" i="50"/>
  <c r="V26" i="50"/>
  <c r="W26" i="50"/>
  <c r="X26" i="50"/>
  <c r="Y26" i="50"/>
  <c r="Z26" i="50"/>
  <c r="AA26" i="50"/>
  <c r="AA18" i="50" s="1"/>
  <c r="AB26" i="50"/>
  <c r="AC26" i="50"/>
  <c r="AD26" i="50"/>
  <c r="AE26" i="50"/>
  <c r="AF26" i="50"/>
  <c r="D27" i="50"/>
  <c r="E27" i="50"/>
  <c r="F27" i="50"/>
  <c r="G27" i="50"/>
  <c r="H27" i="50"/>
  <c r="I27" i="50"/>
  <c r="J27" i="50"/>
  <c r="K27" i="50"/>
  <c r="L27" i="50"/>
  <c r="M27" i="50"/>
  <c r="N27" i="50"/>
  <c r="N18" i="50" s="1"/>
  <c r="O27" i="50"/>
  <c r="P27" i="50"/>
  <c r="Q27" i="50"/>
  <c r="R27" i="50"/>
  <c r="S27" i="50"/>
  <c r="T27" i="50"/>
  <c r="U27" i="50"/>
  <c r="V27" i="50"/>
  <c r="V18" i="50" s="1"/>
  <c r="W27" i="50"/>
  <c r="X27" i="50"/>
  <c r="Y27" i="50"/>
  <c r="Z27" i="50"/>
  <c r="AA27" i="50"/>
  <c r="AB27" i="50"/>
  <c r="AC27" i="50"/>
  <c r="AD27" i="50"/>
  <c r="AD18" i="50" s="1"/>
  <c r="AE27" i="50"/>
  <c r="AF27" i="50"/>
  <c r="D28" i="50"/>
  <c r="E28" i="50"/>
  <c r="F28" i="50"/>
  <c r="G28" i="50"/>
  <c r="H28" i="50"/>
  <c r="I28" i="50"/>
  <c r="I17" i="50" s="1"/>
  <c r="J28" i="50"/>
  <c r="K28" i="50"/>
  <c r="L28" i="50"/>
  <c r="M28" i="50"/>
  <c r="N28" i="50"/>
  <c r="O28" i="50"/>
  <c r="P28" i="50"/>
  <c r="Q28" i="50"/>
  <c r="Q17" i="50" s="1"/>
  <c r="R28" i="50"/>
  <c r="S28" i="50"/>
  <c r="T28" i="50"/>
  <c r="U28" i="50"/>
  <c r="V28" i="50"/>
  <c r="W28" i="50"/>
  <c r="X28" i="50"/>
  <c r="Y28" i="50"/>
  <c r="Z28" i="50"/>
  <c r="AA28" i="50"/>
  <c r="AB28" i="50"/>
  <c r="AC28" i="50"/>
  <c r="AD28" i="50"/>
  <c r="AE28" i="50"/>
  <c r="AF28" i="50"/>
  <c r="D29" i="50"/>
  <c r="D19" i="50" s="1"/>
  <c r="E29" i="50"/>
  <c r="F29" i="50"/>
  <c r="G29" i="50"/>
  <c r="H29" i="50"/>
  <c r="I29" i="50"/>
  <c r="J29" i="50"/>
  <c r="K29" i="50"/>
  <c r="L29" i="50"/>
  <c r="L19" i="50" s="1"/>
  <c r="M29" i="50"/>
  <c r="N29" i="50"/>
  <c r="O29" i="50"/>
  <c r="P29" i="50"/>
  <c r="Q29" i="50"/>
  <c r="R29" i="50"/>
  <c r="S29" i="50"/>
  <c r="T29" i="50"/>
  <c r="T19" i="50" s="1"/>
  <c r="U29" i="50"/>
  <c r="V29" i="50"/>
  <c r="W29" i="50"/>
  <c r="X29" i="50"/>
  <c r="Y29" i="50"/>
  <c r="Z29" i="50"/>
  <c r="AA29" i="50"/>
  <c r="AB29" i="50"/>
  <c r="AB19" i="50" s="1"/>
  <c r="AC29" i="50"/>
  <c r="AD29" i="50"/>
  <c r="AE29" i="50"/>
  <c r="AF29" i="50"/>
  <c r="D30" i="50"/>
  <c r="E30" i="50"/>
  <c r="F30" i="50"/>
  <c r="G30" i="50"/>
  <c r="G19" i="50" s="1"/>
  <c r="H30" i="50"/>
  <c r="I30" i="50"/>
  <c r="J30" i="50"/>
  <c r="K30" i="50"/>
  <c r="L30" i="50"/>
  <c r="M30" i="50"/>
  <c r="N30" i="50"/>
  <c r="O30" i="50"/>
  <c r="O19" i="50" s="1"/>
  <c r="P30" i="50"/>
  <c r="Q30" i="50"/>
  <c r="R30" i="50"/>
  <c r="S30" i="50"/>
  <c r="T30" i="50"/>
  <c r="U30" i="50"/>
  <c r="V30" i="50"/>
  <c r="W30" i="50"/>
  <c r="W19" i="50" s="1"/>
  <c r="X30" i="50"/>
  <c r="Y30" i="50"/>
  <c r="Z30" i="50"/>
  <c r="AA30" i="50"/>
  <c r="AB30" i="50"/>
  <c r="AC30" i="50"/>
  <c r="AD30" i="50"/>
  <c r="AE30" i="50"/>
  <c r="AE19" i="50" s="1"/>
  <c r="AF30" i="50"/>
  <c r="D31" i="50"/>
  <c r="E31" i="50"/>
  <c r="F31" i="50"/>
  <c r="G31" i="50"/>
  <c r="H31" i="50"/>
  <c r="I31" i="50"/>
  <c r="J31" i="50"/>
  <c r="J18" i="50" s="1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X31" i="50"/>
  <c r="Y31" i="50"/>
  <c r="Z31" i="50"/>
  <c r="AA31" i="50"/>
  <c r="AB31" i="50"/>
  <c r="AC31" i="50"/>
  <c r="AD31" i="50"/>
  <c r="AE31" i="50"/>
  <c r="AF31" i="50"/>
  <c r="D32" i="50"/>
  <c r="E32" i="50"/>
  <c r="E18" i="50" s="1"/>
  <c r="F32" i="50"/>
  <c r="G32" i="50"/>
  <c r="H32" i="50"/>
  <c r="I32" i="50"/>
  <c r="J32" i="50"/>
  <c r="K32" i="50"/>
  <c r="L32" i="50"/>
  <c r="M32" i="50"/>
  <c r="M18" i="50" s="1"/>
  <c r="N32" i="50"/>
  <c r="O32" i="50"/>
  <c r="P32" i="50"/>
  <c r="Q32" i="50"/>
  <c r="R32" i="50"/>
  <c r="S32" i="50"/>
  <c r="T32" i="50"/>
  <c r="U32" i="50"/>
  <c r="U18" i="50" s="1"/>
  <c r="U21" i="50" s="1"/>
  <c r="V32" i="50"/>
  <c r="W32" i="50"/>
  <c r="X32" i="50"/>
  <c r="Y32" i="50"/>
  <c r="Z32" i="50"/>
  <c r="AA32" i="50"/>
  <c r="AB32" i="50"/>
  <c r="AC32" i="50"/>
  <c r="AD32" i="50"/>
  <c r="AE32" i="50"/>
  <c r="AF32" i="50"/>
  <c r="D33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S33" i="50"/>
  <c r="T33" i="50"/>
  <c r="U33" i="50"/>
  <c r="V33" i="50"/>
  <c r="W33" i="50"/>
  <c r="X33" i="50"/>
  <c r="X18" i="50" s="1"/>
  <c r="Y33" i="50"/>
  <c r="Z33" i="50"/>
  <c r="AA33" i="50"/>
  <c r="AB33" i="50"/>
  <c r="AC33" i="50"/>
  <c r="AD33" i="50"/>
  <c r="AE33" i="50"/>
  <c r="AF33" i="50"/>
  <c r="D34" i="50"/>
  <c r="E34" i="50"/>
  <c r="F34" i="50"/>
  <c r="G34" i="50"/>
  <c r="H34" i="50"/>
  <c r="I34" i="50"/>
  <c r="J34" i="50"/>
  <c r="K34" i="50"/>
  <c r="K17" i="50" s="1"/>
  <c r="L34" i="50"/>
  <c r="M34" i="50"/>
  <c r="N34" i="50"/>
  <c r="O34" i="50"/>
  <c r="P34" i="50"/>
  <c r="Q34" i="50"/>
  <c r="R34" i="50"/>
  <c r="S34" i="50"/>
  <c r="S17" i="50" s="1"/>
  <c r="T34" i="50"/>
  <c r="U34" i="50"/>
  <c r="V34" i="50"/>
  <c r="W34" i="50"/>
  <c r="X34" i="50"/>
  <c r="Y34" i="50"/>
  <c r="Z34" i="50"/>
  <c r="AA34" i="50"/>
  <c r="AA17" i="50" s="1"/>
  <c r="AA21" i="50" s="1"/>
  <c r="AB34" i="50"/>
  <c r="AC34" i="50"/>
  <c r="AD34" i="50"/>
  <c r="AE34" i="50"/>
  <c r="AF34" i="50"/>
  <c r="D35" i="50"/>
  <c r="E35" i="50"/>
  <c r="F35" i="50"/>
  <c r="F19" i="50" s="1"/>
  <c r="G35" i="50"/>
  <c r="H35" i="50"/>
  <c r="I35" i="50"/>
  <c r="J35" i="50"/>
  <c r="K35" i="50"/>
  <c r="L35" i="50"/>
  <c r="M35" i="50"/>
  <c r="N35" i="50"/>
  <c r="N19" i="50" s="1"/>
  <c r="O35" i="50"/>
  <c r="P35" i="50"/>
  <c r="Q35" i="50"/>
  <c r="R35" i="50"/>
  <c r="S35" i="50"/>
  <c r="T35" i="50"/>
  <c r="U35" i="50"/>
  <c r="V35" i="50"/>
  <c r="V19" i="50" s="1"/>
  <c r="W35" i="50"/>
  <c r="X35" i="50"/>
  <c r="Y35" i="50"/>
  <c r="Z35" i="50"/>
  <c r="AA35" i="50"/>
  <c r="AB35" i="50"/>
  <c r="AC35" i="50"/>
  <c r="AD35" i="50"/>
  <c r="AE35" i="50"/>
  <c r="AF35" i="50"/>
  <c r="D36" i="50"/>
  <c r="E36" i="50"/>
  <c r="F36" i="50"/>
  <c r="G36" i="50"/>
  <c r="H36" i="50"/>
  <c r="I36" i="50"/>
  <c r="I19" i="50" s="1"/>
  <c r="J36" i="50"/>
  <c r="K36" i="50"/>
  <c r="L36" i="50"/>
  <c r="M36" i="50"/>
  <c r="N36" i="50"/>
  <c r="O36" i="50"/>
  <c r="P36" i="50"/>
  <c r="Q36" i="50"/>
  <c r="Q19" i="50" s="1"/>
  <c r="R36" i="50"/>
  <c r="S36" i="50"/>
  <c r="T36" i="50"/>
  <c r="U36" i="50"/>
  <c r="V36" i="50"/>
  <c r="W36" i="50"/>
  <c r="X36" i="50"/>
  <c r="Y36" i="50"/>
  <c r="Y19" i="50" s="1"/>
  <c r="Z36" i="50"/>
  <c r="AA36" i="50"/>
  <c r="AB36" i="50"/>
  <c r="AC36" i="50"/>
  <c r="AD36" i="50"/>
  <c r="AE36" i="50"/>
  <c r="AF36" i="50"/>
  <c r="D37" i="50"/>
  <c r="D18" i="50" s="1"/>
  <c r="E37" i="50"/>
  <c r="F37" i="50"/>
  <c r="G37" i="50"/>
  <c r="H37" i="50"/>
  <c r="I37" i="50"/>
  <c r="J37" i="50"/>
  <c r="K37" i="50"/>
  <c r="L37" i="50"/>
  <c r="L18" i="50" s="1"/>
  <c r="M37" i="50"/>
  <c r="N37" i="50"/>
  <c r="O37" i="50"/>
  <c r="P37" i="50"/>
  <c r="Q37" i="50"/>
  <c r="R37" i="50"/>
  <c r="S37" i="50"/>
  <c r="T37" i="50"/>
  <c r="T18" i="50" s="1"/>
  <c r="T21" i="50" s="1"/>
  <c r="U37" i="50"/>
  <c r="V37" i="50"/>
  <c r="W37" i="50"/>
  <c r="X37" i="50"/>
  <c r="Y37" i="50"/>
  <c r="Z37" i="50"/>
  <c r="AA37" i="50"/>
  <c r="AB37" i="50"/>
  <c r="AB18" i="50" s="1"/>
  <c r="AC37" i="50"/>
  <c r="AD37" i="50"/>
  <c r="AE37" i="50"/>
  <c r="AF37" i="50"/>
  <c r="D38" i="50"/>
  <c r="E38" i="50"/>
  <c r="F38" i="50"/>
  <c r="G38" i="50"/>
  <c r="G20" i="50" s="1"/>
  <c r="H38" i="50"/>
  <c r="I38" i="50"/>
  <c r="J38" i="50"/>
  <c r="K38" i="50"/>
  <c r="L38" i="50"/>
  <c r="M38" i="50"/>
  <c r="N38" i="50"/>
  <c r="O38" i="50"/>
  <c r="P38" i="50"/>
  <c r="Q38" i="50"/>
  <c r="R38" i="50"/>
  <c r="S38" i="50"/>
  <c r="T38" i="50"/>
  <c r="U38" i="50"/>
  <c r="V38" i="50"/>
  <c r="W38" i="50"/>
  <c r="W20" i="50" s="1"/>
  <c r="W21" i="50" s="1"/>
  <c r="X38" i="50"/>
  <c r="Y38" i="50"/>
  <c r="Z38" i="50"/>
  <c r="AA38" i="50"/>
  <c r="AB38" i="50"/>
  <c r="AC38" i="50"/>
  <c r="AD38" i="50"/>
  <c r="AE38" i="50"/>
  <c r="AE20" i="50" s="1"/>
  <c r="AF38" i="50"/>
  <c r="T26" i="45"/>
  <c r="U26" i="45"/>
  <c r="V26" i="45"/>
  <c r="W26" i="45"/>
  <c r="X26" i="45"/>
  <c r="Y26" i="45"/>
  <c r="Z26" i="45"/>
  <c r="AA26" i="45"/>
  <c r="AB26" i="45"/>
  <c r="AC26" i="45"/>
  <c r="AD26" i="45"/>
  <c r="AE26" i="45"/>
  <c r="T27" i="45"/>
  <c r="U27" i="45"/>
  <c r="V27" i="45"/>
  <c r="W27" i="45"/>
  <c r="X27" i="45"/>
  <c r="Y27" i="45"/>
  <c r="Z27" i="45"/>
  <c r="AA27" i="45"/>
  <c r="AB27" i="45"/>
  <c r="AC27" i="45"/>
  <c r="AD27" i="45"/>
  <c r="AE27" i="45"/>
  <c r="T28" i="45"/>
  <c r="U28" i="45"/>
  <c r="V28" i="45"/>
  <c r="W28" i="45"/>
  <c r="W17" i="45" s="1"/>
  <c r="X28" i="45"/>
  <c r="Y28" i="45"/>
  <c r="Y17" i="45" s="1"/>
  <c r="Z28" i="45"/>
  <c r="AA28" i="45"/>
  <c r="AB28" i="45"/>
  <c r="AC28" i="45"/>
  <c r="AD28" i="45"/>
  <c r="AE28" i="45"/>
  <c r="T29" i="45"/>
  <c r="U29" i="45"/>
  <c r="V29" i="45"/>
  <c r="W29" i="45"/>
  <c r="X29" i="45"/>
  <c r="Y29" i="45"/>
  <c r="Z29" i="45"/>
  <c r="AA29" i="45"/>
  <c r="AB29" i="45"/>
  <c r="AC29" i="45"/>
  <c r="AD29" i="45"/>
  <c r="AE29" i="45"/>
  <c r="T30" i="45"/>
  <c r="U30" i="45"/>
  <c r="V30" i="45"/>
  <c r="W30" i="45"/>
  <c r="X30" i="45"/>
  <c r="Y30" i="45"/>
  <c r="Z30" i="45"/>
  <c r="AA30" i="45"/>
  <c r="AB30" i="45"/>
  <c r="AC30" i="45"/>
  <c r="AD30" i="45"/>
  <c r="AE30" i="45"/>
  <c r="T31" i="45"/>
  <c r="U31" i="45"/>
  <c r="V31" i="45"/>
  <c r="W31" i="45"/>
  <c r="X31" i="45"/>
  <c r="Y31" i="45"/>
  <c r="Z31" i="45"/>
  <c r="AA31" i="45"/>
  <c r="AB31" i="45"/>
  <c r="AC31" i="45"/>
  <c r="AD31" i="45"/>
  <c r="AE31" i="45"/>
  <c r="T32" i="45"/>
  <c r="U32" i="45"/>
  <c r="V32" i="45"/>
  <c r="W32" i="45"/>
  <c r="X32" i="45"/>
  <c r="Y32" i="45"/>
  <c r="Z32" i="45"/>
  <c r="AA32" i="45"/>
  <c r="AB32" i="45"/>
  <c r="AC32" i="45"/>
  <c r="AD32" i="45"/>
  <c r="AE32" i="45"/>
  <c r="T33" i="45"/>
  <c r="U33" i="45"/>
  <c r="V33" i="45"/>
  <c r="W33" i="45"/>
  <c r="X33" i="45"/>
  <c r="Y33" i="45"/>
  <c r="Z33" i="45"/>
  <c r="AA33" i="45"/>
  <c r="AB33" i="45"/>
  <c r="AC33" i="45"/>
  <c r="AD33" i="45"/>
  <c r="AE33" i="45"/>
  <c r="T34" i="45"/>
  <c r="U34" i="45"/>
  <c r="V34" i="45"/>
  <c r="W34" i="45"/>
  <c r="X34" i="45"/>
  <c r="Y34" i="45"/>
  <c r="Z34" i="45"/>
  <c r="AA34" i="45"/>
  <c r="AB34" i="45"/>
  <c r="AC34" i="45"/>
  <c r="AD34" i="45"/>
  <c r="AE34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T38" i="45"/>
  <c r="U38" i="45"/>
  <c r="V38" i="45"/>
  <c r="W38" i="45"/>
  <c r="X38" i="45"/>
  <c r="X20" i="45" s="1"/>
  <c r="Y38" i="45"/>
  <c r="Y20" i="45" s="1"/>
  <c r="Z38" i="45"/>
  <c r="AA38" i="45"/>
  <c r="AA20" i="45" s="1"/>
  <c r="AB38" i="45"/>
  <c r="AC38" i="45"/>
  <c r="AD38" i="45"/>
  <c r="AE38" i="45"/>
  <c r="G29" i="56"/>
  <c r="H29" i="56"/>
  <c r="I29" i="56"/>
  <c r="J29" i="56"/>
  <c r="K29" i="56"/>
  <c r="L29" i="56"/>
  <c r="M29" i="56"/>
  <c r="N29" i="56"/>
  <c r="O29" i="56"/>
  <c r="P29" i="56"/>
  <c r="Q29" i="56"/>
  <c r="R29" i="56"/>
  <c r="S29" i="56"/>
  <c r="S19" i="56" s="1"/>
  <c r="T29" i="56"/>
  <c r="U29" i="56"/>
  <c r="V29" i="56"/>
  <c r="W29" i="56"/>
  <c r="X29" i="56"/>
  <c r="G30" i="56"/>
  <c r="H30" i="56"/>
  <c r="I30" i="56"/>
  <c r="I19" i="56" s="1"/>
  <c r="J30" i="56"/>
  <c r="K30" i="56"/>
  <c r="L30" i="56"/>
  <c r="M30" i="56"/>
  <c r="N30" i="56"/>
  <c r="N19" i="56" s="1"/>
  <c r="O30" i="56"/>
  <c r="P30" i="56"/>
  <c r="Q30" i="56"/>
  <c r="Q19" i="56" s="1"/>
  <c r="R30" i="56"/>
  <c r="S30" i="56"/>
  <c r="T30" i="56"/>
  <c r="U30" i="56"/>
  <c r="V30" i="56"/>
  <c r="W30" i="56"/>
  <c r="X30" i="56"/>
  <c r="G31" i="56"/>
  <c r="H31" i="56"/>
  <c r="I31" i="56"/>
  <c r="J31" i="56"/>
  <c r="K31" i="56"/>
  <c r="L31" i="56"/>
  <c r="M31" i="56"/>
  <c r="N31" i="56"/>
  <c r="O31" i="56"/>
  <c r="O18" i="56" s="1"/>
  <c r="P31" i="56"/>
  <c r="Q31" i="56"/>
  <c r="R31" i="56"/>
  <c r="S31" i="56"/>
  <c r="T31" i="56"/>
  <c r="U31" i="56"/>
  <c r="V31" i="56"/>
  <c r="W31" i="56"/>
  <c r="X31" i="56"/>
  <c r="G32" i="56"/>
  <c r="H32" i="56"/>
  <c r="I32" i="56"/>
  <c r="J32" i="56"/>
  <c r="K32" i="56"/>
  <c r="L32" i="56"/>
  <c r="M32" i="56"/>
  <c r="M18" i="56" s="1"/>
  <c r="N32" i="56"/>
  <c r="O32" i="56"/>
  <c r="P32" i="56"/>
  <c r="Q32" i="56"/>
  <c r="R32" i="56"/>
  <c r="S32" i="56"/>
  <c r="T32" i="56"/>
  <c r="U32" i="56"/>
  <c r="V32" i="56"/>
  <c r="W32" i="56"/>
  <c r="X32" i="56"/>
  <c r="G33" i="56"/>
  <c r="H33" i="56"/>
  <c r="I33" i="56"/>
  <c r="J33" i="56"/>
  <c r="K33" i="56"/>
  <c r="L33" i="56"/>
  <c r="M33" i="56"/>
  <c r="N33" i="56"/>
  <c r="O33" i="56"/>
  <c r="P33" i="56"/>
  <c r="Q33" i="56"/>
  <c r="R33" i="56"/>
  <c r="S33" i="56"/>
  <c r="T33" i="56"/>
  <c r="U33" i="56"/>
  <c r="V33" i="56"/>
  <c r="W33" i="56"/>
  <c r="X33" i="56"/>
  <c r="G34" i="56"/>
  <c r="H34" i="56"/>
  <c r="I34" i="56"/>
  <c r="J34" i="56"/>
  <c r="K34" i="56"/>
  <c r="K17" i="56" s="1"/>
  <c r="L34" i="56"/>
  <c r="M34" i="56"/>
  <c r="N34" i="56"/>
  <c r="O34" i="56"/>
  <c r="P34" i="56"/>
  <c r="Q34" i="56"/>
  <c r="Q17" i="56" s="1"/>
  <c r="R34" i="56"/>
  <c r="S34" i="56"/>
  <c r="T34" i="56"/>
  <c r="U34" i="56"/>
  <c r="V34" i="56"/>
  <c r="W34" i="56"/>
  <c r="X34" i="56"/>
  <c r="N26" i="47"/>
  <c r="O26" i="47"/>
  <c r="P26" i="47"/>
  <c r="Q26" i="47"/>
  <c r="R26" i="47"/>
  <c r="S26" i="47"/>
  <c r="T26" i="47"/>
  <c r="U26" i="47"/>
  <c r="V26" i="47"/>
  <c r="W26" i="47"/>
  <c r="X26" i="47"/>
  <c r="Y26" i="47"/>
  <c r="Z26" i="47"/>
  <c r="AA26" i="47"/>
  <c r="AB26" i="47"/>
  <c r="AC26" i="47"/>
  <c r="AD26" i="47"/>
  <c r="AE26" i="47"/>
  <c r="AF26" i="47"/>
  <c r="AG26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AF27" i="47"/>
  <c r="AG27" i="47"/>
  <c r="N28" i="47"/>
  <c r="O28" i="47"/>
  <c r="P28" i="47"/>
  <c r="Q28" i="47"/>
  <c r="R28" i="47"/>
  <c r="S28" i="47"/>
  <c r="T28" i="47"/>
  <c r="U28" i="47"/>
  <c r="V28" i="47"/>
  <c r="W28" i="47"/>
  <c r="X28" i="47"/>
  <c r="Y28" i="47"/>
  <c r="Z28" i="47"/>
  <c r="AA28" i="47"/>
  <c r="AB28" i="47"/>
  <c r="AC28" i="47"/>
  <c r="AF28" i="47"/>
  <c r="AG28" i="47"/>
  <c r="N29" i="47"/>
  <c r="O29" i="47"/>
  <c r="P29" i="47"/>
  <c r="Q29" i="47"/>
  <c r="R29" i="47"/>
  <c r="S29" i="47"/>
  <c r="T29" i="47"/>
  <c r="U29" i="47"/>
  <c r="V29" i="47"/>
  <c r="W29" i="47"/>
  <c r="X29" i="47"/>
  <c r="Y29" i="47"/>
  <c r="Z29" i="47"/>
  <c r="AA29" i="47"/>
  <c r="AB29" i="47"/>
  <c r="AC29" i="47"/>
  <c r="AF29" i="47"/>
  <c r="AG29" i="47"/>
  <c r="N30" i="47"/>
  <c r="O30" i="47"/>
  <c r="P30" i="47"/>
  <c r="Q30" i="47"/>
  <c r="R30" i="47"/>
  <c r="S30" i="47"/>
  <c r="T30" i="47"/>
  <c r="U30" i="47"/>
  <c r="V30" i="47"/>
  <c r="W30" i="47"/>
  <c r="X30" i="47"/>
  <c r="Y30" i="47"/>
  <c r="Z30" i="47"/>
  <c r="AA30" i="47"/>
  <c r="AB30" i="47"/>
  <c r="AC30" i="47"/>
  <c r="AF30" i="47"/>
  <c r="AG30" i="47"/>
  <c r="N31" i="47"/>
  <c r="O31" i="47"/>
  <c r="P31" i="47"/>
  <c r="Q31" i="47"/>
  <c r="R31" i="47"/>
  <c r="S31" i="47"/>
  <c r="T31" i="47"/>
  <c r="U31" i="47"/>
  <c r="V31" i="47"/>
  <c r="W31" i="47"/>
  <c r="X31" i="47"/>
  <c r="Y31" i="47"/>
  <c r="Z31" i="47"/>
  <c r="AA31" i="47"/>
  <c r="AB31" i="47"/>
  <c r="AC31" i="47"/>
  <c r="AF31" i="47"/>
  <c r="AG31" i="47"/>
  <c r="N32" i="47"/>
  <c r="O32" i="47"/>
  <c r="P32" i="47"/>
  <c r="Q32" i="47"/>
  <c r="R32" i="47"/>
  <c r="S32" i="47"/>
  <c r="T32" i="47"/>
  <c r="U32" i="47"/>
  <c r="V32" i="47"/>
  <c r="W32" i="47"/>
  <c r="X32" i="47"/>
  <c r="Y32" i="47"/>
  <c r="Z32" i="47"/>
  <c r="AA32" i="47"/>
  <c r="AB32" i="47"/>
  <c r="AC32" i="47"/>
  <c r="AF32" i="47"/>
  <c r="AG32" i="47"/>
  <c r="N33" i="47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AF33" i="47"/>
  <c r="AG33" i="47"/>
  <c r="N34" i="47"/>
  <c r="O34" i="47"/>
  <c r="P34" i="47"/>
  <c r="Q34" i="47"/>
  <c r="R34" i="47"/>
  <c r="S34" i="47"/>
  <c r="T34" i="47"/>
  <c r="U34" i="47"/>
  <c r="V34" i="47"/>
  <c r="W34" i="47"/>
  <c r="X34" i="47"/>
  <c r="Y34" i="47"/>
  <c r="Z34" i="47"/>
  <c r="AA34" i="47"/>
  <c r="AB34" i="47"/>
  <c r="AC34" i="47"/>
  <c r="AD34" i="47"/>
  <c r="AE34" i="47"/>
  <c r="AF34" i="47"/>
  <c r="AG34" i="47"/>
  <c r="N35" i="47"/>
  <c r="O35" i="47"/>
  <c r="P35" i="47"/>
  <c r="Q35" i="47"/>
  <c r="R35" i="47"/>
  <c r="S35" i="47"/>
  <c r="T35" i="47"/>
  <c r="U35" i="47"/>
  <c r="V35" i="47"/>
  <c r="W35" i="47"/>
  <c r="X35" i="47"/>
  <c r="Y35" i="47"/>
  <c r="Z35" i="47"/>
  <c r="AA35" i="47"/>
  <c r="AB35" i="47"/>
  <c r="AC35" i="47"/>
  <c r="AD35" i="47"/>
  <c r="AE35" i="47"/>
  <c r="AF35" i="47"/>
  <c r="AG35" i="47"/>
  <c r="N36" i="47"/>
  <c r="O36" i="47"/>
  <c r="P36" i="47"/>
  <c r="Q36" i="47"/>
  <c r="R36" i="47"/>
  <c r="S36" i="47"/>
  <c r="T36" i="47"/>
  <c r="U36" i="47"/>
  <c r="V36" i="47"/>
  <c r="W36" i="47"/>
  <c r="X36" i="47"/>
  <c r="Y36" i="47"/>
  <c r="Z36" i="47"/>
  <c r="AA36" i="47"/>
  <c r="AB36" i="47"/>
  <c r="AC36" i="47"/>
  <c r="AD36" i="47"/>
  <c r="AE36" i="47"/>
  <c r="AF36" i="47"/>
  <c r="AG36" i="47"/>
  <c r="N37" i="47"/>
  <c r="O37" i="47"/>
  <c r="P37" i="47"/>
  <c r="Q37" i="47"/>
  <c r="R37" i="47"/>
  <c r="S37" i="47"/>
  <c r="T37" i="47"/>
  <c r="U37" i="47"/>
  <c r="V37" i="47"/>
  <c r="W37" i="47"/>
  <c r="X37" i="47"/>
  <c r="Y37" i="47"/>
  <c r="Z37" i="47"/>
  <c r="AA37" i="47"/>
  <c r="AB37" i="47"/>
  <c r="AC37" i="47"/>
  <c r="AD37" i="47"/>
  <c r="AE37" i="47"/>
  <c r="AF37" i="47"/>
  <c r="AG37" i="47"/>
  <c r="N38" i="47"/>
  <c r="O38" i="47"/>
  <c r="P38" i="47"/>
  <c r="Q38" i="47"/>
  <c r="R38" i="47"/>
  <c r="S38" i="47"/>
  <c r="T38" i="47"/>
  <c r="U38" i="47"/>
  <c r="V38" i="47"/>
  <c r="W38" i="47"/>
  <c r="X38" i="47"/>
  <c r="Y38" i="47"/>
  <c r="Z38" i="47"/>
  <c r="AA38" i="47"/>
  <c r="AB38" i="47"/>
  <c r="AC38" i="47"/>
  <c r="AC20" i="47" s="1"/>
  <c r="AD38" i="47"/>
  <c r="AE38" i="47"/>
  <c r="AF38" i="47"/>
  <c r="AG38" i="47"/>
  <c r="O26" i="54"/>
  <c r="P26" i="54"/>
  <c r="Q26" i="54"/>
  <c r="R26" i="54"/>
  <c r="S26" i="54"/>
  <c r="T26" i="54"/>
  <c r="U26" i="54"/>
  <c r="V26" i="54"/>
  <c r="W26" i="54"/>
  <c r="X26" i="54"/>
  <c r="Y26" i="54"/>
  <c r="Z26" i="54"/>
  <c r="AA26" i="54"/>
  <c r="AB26" i="54"/>
  <c r="AC26" i="54"/>
  <c r="AD26" i="54"/>
  <c r="AE26" i="54"/>
  <c r="AF26" i="54"/>
  <c r="O27" i="54"/>
  <c r="P27" i="54"/>
  <c r="Q27" i="54"/>
  <c r="R27" i="54"/>
  <c r="S27" i="54"/>
  <c r="T27" i="54"/>
  <c r="T18" i="54" s="1"/>
  <c r="U27" i="54"/>
  <c r="V27" i="54"/>
  <c r="W27" i="54"/>
  <c r="X27" i="54"/>
  <c r="Y27" i="54"/>
  <c r="Z27" i="54"/>
  <c r="AA27" i="54"/>
  <c r="AB27" i="54"/>
  <c r="AC27" i="54"/>
  <c r="AD27" i="54"/>
  <c r="AE27" i="54"/>
  <c r="AF27" i="54"/>
  <c r="O28" i="54"/>
  <c r="O17" i="54" s="1"/>
  <c r="P28" i="54"/>
  <c r="Q28" i="54"/>
  <c r="Q17" i="54" s="1"/>
  <c r="R28" i="54"/>
  <c r="S28" i="54"/>
  <c r="T28" i="54"/>
  <c r="U28" i="54"/>
  <c r="V28" i="54"/>
  <c r="W28" i="54"/>
  <c r="X28" i="54"/>
  <c r="Y28" i="54"/>
  <c r="Y17" i="54" s="1"/>
  <c r="Z28" i="54"/>
  <c r="AA28" i="54"/>
  <c r="AB28" i="54"/>
  <c r="AC28" i="54"/>
  <c r="AD28" i="54"/>
  <c r="AE28" i="54"/>
  <c r="AF28" i="54"/>
  <c r="O29" i="54"/>
  <c r="O19" i="54" s="1"/>
  <c r="P29" i="54"/>
  <c r="P19" i="54" s="1"/>
  <c r="Q29" i="54"/>
  <c r="R29" i="54"/>
  <c r="S29" i="54"/>
  <c r="T29" i="54"/>
  <c r="U29" i="54"/>
  <c r="V29" i="54"/>
  <c r="W29" i="54"/>
  <c r="X29" i="54"/>
  <c r="X19" i="54" s="1"/>
  <c r="Y29" i="54"/>
  <c r="Z29" i="54"/>
  <c r="AA29" i="54"/>
  <c r="AB29" i="54"/>
  <c r="AC29" i="54"/>
  <c r="AD29" i="54"/>
  <c r="AE29" i="54"/>
  <c r="AE19" i="54" s="1"/>
  <c r="AF29" i="54"/>
  <c r="AF19" i="54" s="1"/>
  <c r="O30" i="54"/>
  <c r="P30" i="54"/>
  <c r="Q30" i="54"/>
  <c r="R30" i="54"/>
  <c r="S30" i="54"/>
  <c r="T30" i="54"/>
  <c r="U30" i="54"/>
  <c r="V30" i="54"/>
  <c r="V19" i="54" s="1"/>
  <c r="W30" i="54"/>
  <c r="X30" i="54"/>
  <c r="Y30" i="54"/>
  <c r="Z30" i="54"/>
  <c r="AA30" i="54"/>
  <c r="AB30" i="54"/>
  <c r="AC30" i="54"/>
  <c r="AC19" i="54" s="1"/>
  <c r="AD30" i="54"/>
  <c r="AD19" i="54" s="1"/>
  <c r="AE30" i="54"/>
  <c r="AF30" i="54"/>
  <c r="O31" i="54"/>
  <c r="P31" i="54"/>
  <c r="Q31" i="54"/>
  <c r="R31" i="54"/>
  <c r="S31" i="54"/>
  <c r="T31" i="54"/>
  <c r="U31" i="54"/>
  <c r="V31" i="54"/>
  <c r="W31" i="54"/>
  <c r="X31" i="54"/>
  <c r="Y31" i="54"/>
  <c r="Z31" i="54"/>
  <c r="AA31" i="54"/>
  <c r="AB31" i="54"/>
  <c r="AC31" i="54"/>
  <c r="AD31" i="54"/>
  <c r="AE31" i="54"/>
  <c r="AF31" i="54"/>
  <c r="O32" i="54"/>
  <c r="P32" i="54"/>
  <c r="Q32" i="54"/>
  <c r="R32" i="54"/>
  <c r="S32" i="54"/>
  <c r="T32" i="54"/>
  <c r="U32" i="54"/>
  <c r="V32" i="54"/>
  <c r="W32" i="54"/>
  <c r="X32" i="54"/>
  <c r="Y32" i="54"/>
  <c r="Y18" i="54" s="1"/>
  <c r="Z32" i="54"/>
  <c r="Z18" i="54" s="1"/>
  <c r="AA32" i="54"/>
  <c r="AB32" i="54"/>
  <c r="AC32" i="54"/>
  <c r="AD32" i="54"/>
  <c r="AE32" i="54"/>
  <c r="AF32" i="54"/>
  <c r="O33" i="54"/>
  <c r="P33" i="54"/>
  <c r="Q33" i="54"/>
  <c r="R33" i="54"/>
  <c r="S33" i="54"/>
  <c r="T33" i="54"/>
  <c r="U33" i="54"/>
  <c r="V33" i="54"/>
  <c r="W33" i="54"/>
  <c r="X33" i="54"/>
  <c r="X18" i="54" s="1"/>
  <c r="Y33" i="54"/>
  <c r="Z33" i="54"/>
  <c r="AA33" i="54"/>
  <c r="AB33" i="54"/>
  <c r="AC33" i="54"/>
  <c r="AD33" i="54"/>
  <c r="AE33" i="54"/>
  <c r="AE18" i="54" s="1"/>
  <c r="AF33" i="54"/>
  <c r="AF18" i="54" s="1"/>
  <c r="O34" i="54"/>
  <c r="P34" i="54"/>
  <c r="Q34" i="54"/>
  <c r="R34" i="54"/>
  <c r="S34" i="54"/>
  <c r="T34" i="54"/>
  <c r="U34" i="54"/>
  <c r="U17" i="54" s="1"/>
  <c r="V34" i="54"/>
  <c r="V17" i="54" s="1"/>
  <c r="W34" i="54"/>
  <c r="X34" i="54"/>
  <c r="Y34" i="54"/>
  <c r="Z34" i="54"/>
  <c r="AA34" i="54"/>
  <c r="AB34" i="54"/>
  <c r="AC34" i="54"/>
  <c r="AC17" i="54" s="1"/>
  <c r="AD34" i="54"/>
  <c r="AD17" i="54" s="1"/>
  <c r="AE34" i="54"/>
  <c r="AF34" i="54"/>
  <c r="O35" i="54"/>
  <c r="P35" i="54"/>
  <c r="Q35" i="54"/>
  <c r="R35" i="54"/>
  <c r="S35" i="54"/>
  <c r="T35" i="54"/>
  <c r="U35" i="54"/>
  <c r="V35" i="54"/>
  <c r="W35" i="54"/>
  <c r="X35" i="54"/>
  <c r="Y35" i="54"/>
  <c r="Z35" i="54"/>
  <c r="AA35" i="54"/>
  <c r="AA19" i="54" s="1"/>
  <c r="AB35" i="54"/>
  <c r="AB19" i="54" s="1"/>
  <c r="AC35" i="54"/>
  <c r="AD35" i="54"/>
  <c r="AE35" i="54"/>
  <c r="AF35" i="54"/>
  <c r="O36" i="54"/>
  <c r="P36" i="54"/>
  <c r="Q36" i="54"/>
  <c r="Q19" i="54" s="1"/>
  <c r="R36" i="54"/>
  <c r="R19" i="54" s="1"/>
  <c r="S36" i="54"/>
  <c r="T36" i="54"/>
  <c r="U36" i="54"/>
  <c r="V36" i="54"/>
  <c r="W36" i="54"/>
  <c r="X36" i="54"/>
  <c r="Y36" i="54"/>
  <c r="Z36" i="54"/>
  <c r="Z19" i="54" s="1"/>
  <c r="AA36" i="54"/>
  <c r="AB36" i="54"/>
  <c r="AC36" i="54"/>
  <c r="AD36" i="54"/>
  <c r="AE36" i="54"/>
  <c r="AF36" i="54"/>
  <c r="O37" i="54"/>
  <c r="P37" i="54"/>
  <c r="Q37" i="54"/>
  <c r="R37" i="54"/>
  <c r="S37" i="54"/>
  <c r="T37" i="54"/>
  <c r="U37" i="54"/>
  <c r="V37" i="54"/>
  <c r="W37" i="54"/>
  <c r="X37" i="54"/>
  <c r="Y37" i="54"/>
  <c r="Z37" i="54"/>
  <c r="AA37" i="54"/>
  <c r="AB37" i="54"/>
  <c r="AC37" i="54"/>
  <c r="AD37" i="54"/>
  <c r="AE37" i="54"/>
  <c r="AF37" i="54"/>
  <c r="O38" i="54"/>
  <c r="P38" i="54"/>
  <c r="Q38" i="54"/>
  <c r="R38" i="54"/>
  <c r="S38" i="54"/>
  <c r="T38" i="54"/>
  <c r="U38" i="54"/>
  <c r="U20" i="54" s="1"/>
  <c r="V38" i="54"/>
  <c r="V20" i="54" s="1"/>
  <c r="W38" i="54"/>
  <c r="X38" i="54"/>
  <c r="Y38" i="54"/>
  <c r="Z38" i="54"/>
  <c r="AA38" i="54"/>
  <c r="AB38" i="54"/>
  <c r="AC38" i="54"/>
  <c r="AC20" i="54" s="1"/>
  <c r="AD38" i="54"/>
  <c r="AD20" i="54" s="1"/>
  <c r="AE38" i="54"/>
  <c r="AF38" i="54"/>
  <c r="AD34" i="46"/>
  <c r="AE34" i="46"/>
  <c r="AF34" i="46"/>
  <c r="AD35" i="46"/>
  <c r="AE35" i="46"/>
  <c r="AF35" i="46"/>
  <c r="AD36" i="46"/>
  <c r="AE36" i="46"/>
  <c r="AF36" i="46"/>
  <c r="AD37" i="46"/>
  <c r="AE37" i="46"/>
  <c r="AF37" i="46"/>
  <c r="AD38" i="46"/>
  <c r="AE38" i="46"/>
  <c r="AE20" i="46" s="1"/>
  <c r="AF38" i="46"/>
  <c r="L26" i="46"/>
  <c r="M26" i="46"/>
  <c r="N26" i="46"/>
  <c r="O26" i="46"/>
  <c r="P26" i="46"/>
  <c r="Q26" i="46"/>
  <c r="R26" i="46"/>
  <c r="S26" i="46"/>
  <c r="T26" i="46"/>
  <c r="U26" i="46"/>
  <c r="V26" i="46"/>
  <c r="W26" i="46"/>
  <c r="X26" i="46"/>
  <c r="L27" i="46"/>
  <c r="M27" i="46"/>
  <c r="N27" i="46"/>
  <c r="O27" i="46"/>
  <c r="P27" i="46"/>
  <c r="Q27" i="46"/>
  <c r="R27" i="46"/>
  <c r="S27" i="46"/>
  <c r="T27" i="46"/>
  <c r="U27" i="46"/>
  <c r="V27" i="46"/>
  <c r="W27" i="46"/>
  <c r="X27" i="46"/>
  <c r="L28" i="46"/>
  <c r="M28" i="46"/>
  <c r="M17" i="46" s="1"/>
  <c r="N28" i="46"/>
  <c r="O28" i="46"/>
  <c r="P28" i="46"/>
  <c r="Q28" i="46"/>
  <c r="R28" i="46"/>
  <c r="S28" i="46"/>
  <c r="T28" i="46"/>
  <c r="U28" i="46"/>
  <c r="U17" i="46" s="1"/>
  <c r="V28" i="46"/>
  <c r="W28" i="46"/>
  <c r="X28" i="46"/>
  <c r="L29" i="46"/>
  <c r="M29" i="46"/>
  <c r="N29" i="46"/>
  <c r="O29" i="46"/>
  <c r="P29" i="46"/>
  <c r="Q29" i="46"/>
  <c r="R29" i="46"/>
  <c r="S29" i="46"/>
  <c r="T29" i="46"/>
  <c r="U29" i="46"/>
  <c r="V29" i="46"/>
  <c r="W29" i="46"/>
  <c r="X29" i="46"/>
  <c r="N30" i="46"/>
  <c r="N19" i="46" s="1"/>
  <c r="O30" i="46"/>
  <c r="O19" i="46" s="1"/>
  <c r="P30" i="46"/>
  <c r="Q30" i="46"/>
  <c r="R30" i="46"/>
  <c r="S30" i="46"/>
  <c r="S19" i="46" s="1"/>
  <c r="T30" i="46"/>
  <c r="U30" i="46"/>
  <c r="V30" i="46"/>
  <c r="W30" i="46"/>
  <c r="X30" i="46"/>
  <c r="N31" i="46"/>
  <c r="O31" i="46"/>
  <c r="P31" i="46"/>
  <c r="Q31" i="46"/>
  <c r="R31" i="46"/>
  <c r="S31" i="46"/>
  <c r="T31" i="46"/>
  <c r="U31" i="46"/>
  <c r="V31" i="46"/>
  <c r="W31" i="46"/>
  <c r="X31" i="46"/>
  <c r="N32" i="46"/>
  <c r="O32" i="46"/>
  <c r="P32" i="46"/>
  <c r="Q32" i="46"/>
  <c r="R32" i="46"/>
  <c r="S32" i="46"/>
  <c r="T32" i="46"/>
  <c r="U32" i="46"/>
  <c r="V32" i="46"/>
  <c r="W32" i="46"/>
  <c r="X32" i="46"/>
  <c r="N33" i="46"/>
  <c r="O33" i="46"/>
  <c r="P33" i="46"/>
  <c r="Q33" i="46"/>
  <c r="R33" i="46"/>
  <c r="S33" i="46"/>
  <c r="T33" i="46"/>
  <c r="U33" i="46"/>
  <c r="V33" i="46"/>
  <c r="W33" i="46"/>
  <c r="X33" i="46"/>
  <c r="N34" i="46"/>
  <c r="O34" i="46"/>
  <c r="P34" i="46"/>
  <c r="Q34" i="46"/>
  <c r="R34" i="46"/>
  <c r="S34" i="46"/>
  <c r="T34" i="46"/>
  <c r="U34" i="46"/>
  <c r="V34" i="46"/>
  <c r="W34" i="46"/>
  <c r="X34" i="46"/>
  <c r="L35" i="46"/>
  <c r="M35" i="46"/>
  <c r="N35" i="46"/>
  <c r="O35" i="46"/>
  <c r="P35" i="46"/>
  <c r="Q35" i="46"/>
  <c r="R35" i="46"/>
  <c r="S35" i="46"/>
  <c r="T35" i="46"/>
  <c r="U35" i="46"/>
  <c r="V35" i="46"/>
  <c r="W35" i="46"/>
  <c r="X35" i="46"/>
  <c r="L36" i="46"/>
  <c r="M36" i="46"/>
  <c r="N36" i="46"/>
  <c r="O36" i="46"/>
  <c r="P36" i="46"/>
  <c r="Q36" i="46"/>
  <c r="R36" i="46"/>
  <c r="S36" i="46"/>
  <c r="T36" i="46"/>
  <c r="U36" i="46"/>
  <c r="U19" i="46" s="1"/>
  <c r="V36" i="46"/>
  <c r="W36" i="46"/>
  <c r="X36" i="46"/>
  <c r="L37" i="46"/>
  <c r="M37" i="46"/>
  <c r="N37" i="46"/>
  <c r="O37" i="46"/>
  <c r="P37" i="46"/>
  <c r="Q37" i="46"/>
  <c r="R37" i="46"/>
  <c r="S37" i="46"/>
  <c r="T37" i="46"/>
  <c r="U37" i="46"/>
  <c r="V37" i="46"/>
  <c r="W37" i="46"/>
  <c r="X37" i="46"/>
  <c r="X18" i="46" s="1"/>
  <c r="L38" i="46"/>
  <c r="M38" i="46"/>
  <c r="N38" i="46"/>
  <c r="O38" i="46"/>
  <c r="P38" i="46"/>
  <c r="Q38" i="46"/>
  <c r="R38" i="46"/>
  <c r="S38" i="46"/>
  <c r="S20" i="46" s="1"/>
  <c r="T38" i="46"/>
  <c r="U38" i="46"/>
  <c r="V38" i="46"/>
  <c r="W38" i="46"/>
  <c r="X38" i="46"/>
  <c r="G28" i="46"/>
  <c r="H28" i="46"/>
  <c r="I28" i="46"/>
  <c r="G29" i="46"/>
  <c r="H29" i="46"/>
  <c r="I29" i="46"/>
  <c r="G30" i="46"/>
  <c r="H30" i="46"/>
  <c r="I30" i="46"/>
  <c r="G31" i="46"/>
  <c r="H31" i="46"/>
  <c r="I31" i="46"/>
  <c r="G32" i="46"/>
  <c r="H32" i="46"/>
  <c r="I32" i="46"/>
  <c r="G33" i="46"/>
  <c r="H33" i="46"/>
  <c r="I33" i="46"/>
  <c r="G34" i="46"/>
  <c r="H34" i="46"/>
  <c r="I34" i="46"/>
  <c r="I17" i="46" s="1"/>
  <c r="AC26" i="48"/>
  <c r="AD26" i="48"/>
  <c r="AE26" i="48"/>
  <c r="AF26" i="48"/>
  <c r="AC27" i="48"/>
  <c r="AC18" i="48" s="1"/>
  <c r="AD27" i="48"/>
  <c r="AE27" i="48"/>
  <c r="AF27" i="48"/>
  <c r="AF18" i="48" s="1"/>
  <c r="AC28" i="48"/>
  <c r="AD28" i="48"/>
  <c r="AE28" i="48"/>
  <c r="AF28" i="48"/>
  <c r="AC29" i="48"/>
  <c r="AC19" i="48" s="1"/>
  <c r="AD29" i="48"/>
  <c r="AD19" i="48" s="1"/>
  <c r="AE29" i="48"/>
  <c r="AE19" i="48" s="1"/>
  <c r="AF29" i="48"/>
  <c r="AF19" i="48" s="1"/>
  <c r="AC30" i="48"/>
  <c r="AD30" i="48"/>
  <c r="AE30" i="48"/>
  <c r="AF30" i="48"/>
  <c r="AC31" i="48"/>
  <c r="AD31" i="48"/>
  <c r="AE31" i="48"/>
  <c r="AF31" i="48"/>
  <c r="AC32" i="48"/>
  <c r="AD32" i="48"/>
  <c r="AE32" i="48"/>
  <c r="AF32" i="48"/>
  <c r="AC33" i="48"/>
  <c r="AD33" i="48"/>
  <c r="AE33" i="48"/>
  <c r="AF33" i="48"/>
  <c r="AC34" i="48"/>
  <c r="AD34" i="48"/>
  <c r="AE34" i="48"/>
  <c r="AF34" i="48"/>
  <c r="AC35" i="48"/>
  <c r="AD35" i="48"/>
  <c r="AE35" i="48"/>
  <c r="AF35" i="48"/>
  <c r="AC36" i="48"/>
  <c r="AD36" i="48"/>
  <c r="AE36" i="48"/>
  <c r="AF36" i="48"/>
  <c r="AC37" i="48"/>
  <c r="AD37" i="48"/>
  <c r="AE37" i="48"/>
  <c r="AF37" i="48"/>
  <c r="AC38" i="48"/>
  <c r="AD38" i="48"/>
  <c r="AE38" i="48"/>
  <c r="AF38" i="48"/>
  <c r="AF26" i="45"/>
  <c r="AF27" i="45"/>
  <c r="AF28" i="45"/>
  <c r="AF29" i="45"/>
  <c r="AF30" i="45"/>
  <c r="AF31" i="45"/>
  <c r="AF32" i="45"/>
  <c r="AF33" i="45"/>
  <c r="AF34" i="45"/>
  <c r="AC34" i="55"/>
  <c r="AC35" i="55"/>
  <c r="AC36" i="55"/>
  <c r="AC37" i="55"/>
  <c r="AC38" i="55"/>
  <c r="X26" i="55"/>
  <c r="X27" i="55"/>
  <c r="M26" i="45"/>
  <c r="N26" i="45"/>
  <c r="O26" i="45"/>
  <c r="P26" i="45"/>
  <c r="Q26" i="45"/>
  <c r="R26" i="45"/>
  <c r="S26" i="45"/>
  <c r="M27" i="45"/>
  <c r="N27" i="45"/>
  <c r="O27" i="45"/>
  <c r="P27" i="45"/>
  <c r="Q27" i="45"/>
  <c r="R27" i="45"/>
  <c r="S27" i="45"/>
  <c r="M28" i="45"/>
  <c r="N28" i="45"/>
  <c r="O28" i="45"/>
  <c r="P28" i="45"/>
  <c r="Q28" i="45"/>
  <c r="R28" i="45"/>
  <c r="S28" i="45"/>
  <c r="M29" i="45"/>
  <c r="N29" i="45"/>
  <c r="O29" i="45"/>
  <c r="P29" i="45"/>
  <c r="Q29" i="45"/>
  <c r="R29" i="45"/>
  <c r="S29" i="45"/>
  <c r="M30" i="45"/>
  <c r="N30" i="45"/>
  <c r="O30" i="45"/>
  <c r="P30" i="45"/>
  <c r="Q30" i="45"/>
  <c r="R30" i="45"/>
  <c r="S30" i="45"/>
  <c r="M31" i="45"/>
  <c r="N31" i="45"/>
  <c r="O31" i="45"/>
  <c r="P31" i="45"/>
  <c r="Q31" i="45"/>
  <c r="R31" i="45"/>
  <c r="S31" i="45"/>
  <c r="M32" i="45"/>
  <c r="N32" i="45"/>
  <c r="O32" i="45"/>
  <c r="P32" i="45"/>
  <c r="Q32" i="45"/>
  <c r="R32" i="45"/>
  <c r="S32" i="45"/>
  <c r="M33" i="45"/>
  <c r="N33" i="45"/>
  <c r="O33" i="45"/>
  <c r="P33" i="45"/>
  <c r="Q33" i="45"/>
  <c r="R33" i="45"/>
  <c r="S33" i="45"/>
  <c r="M34" i="45"/>
  <c r="N34" i="45"/>
  <c r="O34" i="45"/>
  <c r="P34" i="45"/>
  <c r="Q34" i="45"/>
  <c r="R34" i="45"/>
  <c r="S34" i="45"/>
  <c r="M35" i="45"/>
  <c r="N35" i="45"/>
  <c r="O35" i="45"/>
  <c r="P35" i="45"/>
  <c r="Q35" i="45"/>
  <c r="R35" i="45"/>
  <c r="S35" i="45"/>
  <c r="AF35" i="45"/>
  <c r="M36" i="45"/>
  <c r="N36" i="45"/>
  <c r="O36" i="45"/>
  <c r="P36" i="45"/>
  <c r="Q36" i="45"/>
  <c r="R36" i="45"/>
  <c r="S36" i="45"/>
  <c r="AF36" i="45"/>
  <c r="M37" i="45"/>
  <c r="N37" i="45"/>
  <c r="O37" i="45"/>
  <c r="P37" i="45"/>
  <c r="Q37" i="45"/>
  <c r="R37" i="45"/>
  <c r="S37" i="45"/>
  <c r="AF37" i="45"/>
  <c r="M38" i="45"/>
  <c r="N38" i="45"/>
  <c r="O38" i="45"/>
  <c r="P38" i="45"/>
  <c r="Q38" i="45"/>
  <c r="Q20" i="45" s="1"/>
  <c r="R38" i="45"/>
  <c r="R20" i="45" s="1"/>
  <c r="S38" i="45"/>
  <c r="AF38" i="45"/>
  <c r="E29" i="46"/>
  <c r="F29" i="46"/>
  <c r="J29" i="46"/>
  <c r="E30" i="46"/>
  <c r="F30" i="46"/>
  <c r="E31" i="46"/>
  <c r="F31" i="46"/>
  <c r="E32" i="46"/>
  <c r="F32" i="46"/>
  <c r="E33" i="46"/>
  <c r="F33" i="46"/>
  <c r="E34" i="46"/>
  <c r="F34" i="46"/>
  <c r="H30" i="45"/>
  <c r="I30" i="45"/>
  <c r="J30" i="45"/>
  <c r="K30" i="45"/>
  <c r="L30" i="45"/>
  <c r="H31" i="45"/>
  <c r="I31" i="45"/>
  <c r="J31" i="45"/>
  <c r="K31" i="45"/>
  <c r="L31" i="45"/>
  <c r="H32" i="45"/>
  <c r="I32" i="45"/>
  <c r="J32" i="45"/>
  <c r="K32" i="45"/>
  <c r="L32" i="45"/>
  <c r="H33" i="45"/>
  <c r="I33" i="45"/>
  <c r="J33" i="45"/>
  <c r="K33" i="45"/>
  <c r="L33" i="45"/>
  <c r="H34" i="45"/>
  <c r="I34" i="45"/>
  <c r="J34" i="45"/>
  <c r="K34" i="45"/>
  <c r="L34" i="45"/>
  <c r="H35" i="45"/>
  <c r="I35" i="45"/>
  <c r="J35" i="45"/>
  <c r="K35" i="45"/>
  <c r="L35" i="45"/>
  <c r="H36" i="45"/>
  <c r="I36" i="45"/>
  <c r="J36" i="45"/>
  <c r="K36" i="45"/>
  <c r="L36" i="45"/>
  <c r="H37" i="45"/>
  <c r="I37" i="45"/>
  <c r="J37" i="45"/>
  <c r="K37" i="45"/>
  <c r="L37" i="45"/>
  <c r="H38" i="45"/>
  <c r="H20" i="45" s="1"/>
  <c r="I38" i="45"/>
  <c r="J38" i="45"/>
  <c r="K38" i="45"/>
  <c r="L38" i="45"/>
  <c r="P20" i="45"/>
  <c r="D26" i="44"/>
  <c r="E26" i="44"/>
  <c r="F26" i="44"/>
  <c r="G26" i="44"/>
  <c r="G18" i="44" s="1"/>
  <c r="H26" i="44"/>
  <c r="I26" i="44"/>
  <c r="J26" i="44"/>
  <c r="J18" i="44" s="1"/>
  <c r="K26" i="44"/>
  <c r="L26" i="44"/>
  <c r="M26" i="44"/>
  <c r="N26" i="44"/>
  <c r="O26" i="44"/>
  <c r="P26" i="44"/>
  <c r="P18" i="44" s="1"/>
  <c r="Q26" i="44"/>
  <c r="Q18" i="44" s="1"/>
  <c r="R26" i="44"/>
  <c r="R18" i="44" s="1"/>
  <c r="S26" i="44"/>
  <c r="T26" i="44"/>
  <c r="U26" i="44"/>
  <c r="V26" i="44"/>
  <c r="W26" i="44"/>
  <c r="W18" i="44" s="1"/>
  <c r="X26" i="44"/>
  <c r="Y26" i="44"/>
  <c r="Z26" i="44"/>
  <c r="Z18" i="44" s="1"/>
  <c r="AA26" i="44"/>
  <c r="AB26" i="44"/>
  <c r="AC26" i="44"/>
  <c r="AC18" i="44" s="1"/>
  <c r="AD26" i="44"/>
  <c r="D27" i="44"/>
  <c r="E27" i="44"/>
  <c r="F27" i="44"/>
  <c r="G27" i="44"/>
  <c r="H27" i="44"/>
  <c r="I27" i="44"/>
  <c r="J27" i="44"/>
  <c r="K27" i="44"/>
  <c r="L27" i="44"/>
  <c r="L18" i="44" s="1"/>
  <c r="M27" i="44"/>
  <c r="N27" i="44"/>
  <c r="N18" i="44" s="1"/>
  <c r="O27" i="44"/>
  <c r="O18" i="44" s="1"/>
  <c r="P27" i="44"/>
  <c r="Q27" i="44"/>
  <c r="R27" i="44"/>
  <c r="S27" i="44"/>
  <c r="T27" i="44"/>
  <c r="T18" i="44" s="1"/>
  <c r="U27" i="44"/>
  <c r="V27" i="44"/>
  <c r="W27" i="44"/>
  <c r="X27" i="44"/>
  <c r="Y27" i="44"/>
  <c r="Z27" i="44"/>
  <c r="AA27" i="44"/>
  <c r="AB27" i="44"/>
  <c r="AC27" i="44"/>
  <c r="AD27" i="44"/>
  <c r="D28" i="44"/>
  <c r="D17" i="44" s="1"/>
  <c r="E28" i="44"/>
  <c r="F28" i="44"/>
  <c r="G28" i="44"/>
  <c r="H28" i="44"/>
  <c r="I28" i="44"/>
  <c r="I17" i="44" s="1"/>
  <c r="J28" i="44"/>
  <c r="K28" i="44"/>
  <c r="K17" i="44" s="1"/>
  <c r="L28" i="44"/>
  <c r="M28" i="44"/>
  <c r="N28" i="44"/>
  <c r="O28" i="44"/>
  <c r="P28" i="44"/>
  <c r="Q28" i="44"/>
  <c r="R28" i="44"/>
  <c r="S28" i="44"/>
  <c r="T28" i="44"/>
  <c r="T17" i="44" s="1"/>
  <c r="U28" i="44"/>
  <c r="V28" i="44"/>
  <c r="W28" i="44"/>
  <c r="W17" i="44" s="1"/>
  <c r="X28" i="44"/>
  <c r="Y28" i="44"/>
  <c r="Y17" i="44" s="1"/>
  <c r="Z28" i="44"/>
  <c r="AA28" i="44"/>
  <c r="AA17" i="44" s="1"/>
  <c r="AB28" i="44"/>
  <c r="AB17" i="44" s="1"/>
  <c r="AC28" i="44"/>
  <c r="AD28" i="44"/>
  <c r="D29" i="44"/>
  <c r="D19" i="44" s="1"/>
  <c r="E29" i="44"/>
  <c r="F29" i="44"/>
  <c r="G29" i="44"/>
  <c r="H29" i="44"/>
  <c r="I29" i="44"/>
  <c r="I19" i="44" s="1"/>
  <c r="J29" i="44"/>
  <c r="K29" i="44"/>
  <c r="L29" i="44"/>
  <c r="M29" i="44"/>
  <c r="N29" i="44"/>
  <c r="O29" i="44"/>
  <c r="O19" i="44" s="1"/>
  <c r="P29" i="44"/>
  <c r="Q29" i="44"/>
  <c r="Q19" i="44" s="1"/>
  <c r="R29" i="44"/>
  <c r="S29" i="44"/>
  <c r="T29" i="44"/>
  <c r="U29" i="44"/>
  <c r="V29" i="44"/>
  <c r="W29" i="44"/>
  <c r="W19" i="44" s="1"/>
  <c r="X29" i="44"/>
  <c r="Y29" i="44"/>
  <c r="Y19" i="44" s="1"/>
  <c r="Z29" i="44"/>
  <c r="AA29" i="44"/>
  <c r="AB29" i="44"/>
  <c r="AC29" i="44"/>
  <c r="AD29" i="44"/>
  <c r="AD19" i="44" s="1"/>
  <c r="D30" i="44"/>
  <c r="E30" i="44"/>
  <c r="F30" i="44"/>
  <c r="F19" i="44" s="1"/>
  <c r="G30" i="44"/>
  <c r="H30" i="44"/>
  <c r="I30" i="44"/>
  <c r="J30" i="44"/>
  <c r="K30" i="44"/>
  <c r="K19" i="44" s="1"/>
  <c r="L30" i="44"/>
  <c r="M30" i="44"/>
  <c r="M19" i="44" s="1"/>
  <c r="N30" i="44"/>
  <c r="N19" i="44" s="1"/>
  <c r="O30" i="44"/>
  <c r="P30" i="44"/>
  <c r="Q30" i="44"/>
  <c r="R30" i="44"/>
  <c r="S30" i="44"/>
  <c r="S19" i="44" s="1"/>
  <c r="T30" i="44"/>
  <c r="U30" i="44"/>
  <c r="V30" i="44"/>
  <c r="V19" i="44" s="1"/>
  <c r="W30" i="44"/>
  <c r="X30" i="44"/>
  <c r="Y30" i="44"/>
  <c r="Z30" i="44"/>
  <c r="AA30" i="44"/>
  <c r="AB30" i="44"/>
  <c r="AC30" i="44"/>
  <c r="AD30" i="44"/>
  <c r="D31" i="44"/>
  <c r="E31" i="44"/>
  <c r="F31" i="44"/>
  <c r="G31" i="44"/>
  <c r="H31" i="44"/>
  <c r="H18" i="44" s="1"/>
  <c r="H21" i="44" s="1"/>
  <c r="I31" i="44"/>
  <c r="J31" i="44"/>
  <c r="K31" i="44"/>
  <c r="K18" i="44" s="1"/>
  <c r="L31" i="44"/>
  <c r="M31" i="44"/>
  <c r="N31" i="44"/>
  <c r="O31" i="44"/>
  <c r="P31" i="44"/>
  <c r="Q31" i="44"/>
  <c r="R31" i="44"/>
  <c r="S31" i="44"/>
  <c r="T31" i="44"/>
  <c r="U31" i="44"/>
  <c r="V31" i="44"/>
  <c r="W31" i="44"/>
  <c r="X31" i="44"/>
  <c r="X18" i="44" s="1"/>
  <c r="X21" i="44" s="1"/>
  <c r="Y31" i="44"/>
  <c r="Z31" i="44"/>
  <c r="AA31" i="44"/>
  <c r="AA18" i="44" s="1"/>
  <c r="AB31" i="44"/>
  <c r="AC31" i="44"/>
  <c r="AD31" i="44"/>
  <c r="D32" i="44"/>
  <c r="E32" i="44"/>
  <c r="F32" i="44"/>
  <c r="G32" i="44"/>
  <c r="H32" i="44"/>
  <c r="I32" i="44"/>
  <c r="J32" i="44"/>
  <c r="K32" i="44"/>
  <c r="L32" i="44"/>
  <c r="M32" i="44"/>
  <c r="N32" i="44"/>
  <c r="O32" i="44"/>
  <c r="P32" i="44"/>
  <c r="Q32" i="44"/>
  <c r="R32" i="44"/>
  <c r="S32" i="44"/>
  <c r="T32" i="44"/>
  <c r="U32" i="44"/>
  <c r="V32" i="44"/>
  <c r="W32" i="44"/>
  <c r="X32" i="44"/>
  <c r="Y32" i="44"/>
  <c r="Z32" i="44"/>
  <c r="AA32" i="44"/>
  <c r="AB32" i="44"/>
  <c r="AC32" i="44"/>
  <c r="AD32" i="44"/>
  <c r="D33" i="44"/>
  <c r="E33" i="44"/>
  <c r="E18" i="44" s="1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U33" i="44"/>
  <c r="V33" i="44"/>
  <c r="W33" i="44"/>
  <c r="X33" i="44"/>
  <c r="Y33" i="44"/>
  <c r="Z33" i="44"/>
  <c r="AA33" i="44"/>
  <c r="AB33" i="44"/>
  <c r="AC33" i="44"/>
  <c r="AD33" i="44"/>
  <c r="D34" i="44"/>
  <c r="E34" i="44"/>
  <c r="F34" i="44"/>
  <c r="G34" i="44"/>
  <c r="H34" i="44"/>
  <c r="I34" i="44"/>
  <c r="J34" i="44"/>
  <c r="J17" i="44" s="1"/>
  <c r="K34" i="44"/>
  <c r="L34" i="44"/>
  <c r="M34" i="44"/>
  <c r="N34" i="44"/>
  <c r="O34" i="44"/>
  <c r="P34" i="44"/>
  <c r="Q34" i="44"/>
  <c r="R34" i="44"/>
  <c r="S34" i="44"/>
  <c r="T34" i="44"/>
  <c r="U34" i="44"/>
  <c r="V34" i="44"/>
  <c r="W34" i="44"/>
  <c r="X34" i="44"/>
  <c r="Y34" i="44"/>
  <c r="Z34" i="44"/>
  <c r="Z17" i="44" s="1"/>
  <c r="AA34" i="44"/>
  <c r="AB34" i="44"/>
  <c r="AC34" i="44"/>
  <c r="AC17" i="44" s="1"/>
  <c r="AD34" i="44"/>
  <c r="D35" i="44"/>
  <c r="E35" i="44"/>
  <c r="F35" i="44"/>
  <c r="G35" i="44"/>
  <c r="G19" i="44" s="1"/>
  <c r="H35" i="44"/>
  <c r="I35" i="44"/>
  <c r="J35" i="44"/>
  <c r="K35" i="44"/>
  <c r="L35" i="44"/>
  <c r="M35" i="44"/>
  <c r="N35" i="44"/>
  <c r="O35" i="44"/>
  <c r="P35" i="44"/>
  <c r="Q35" i="44"/>
  <c r="R35" i="44"/>
  <c r="S35" i="44"/>
  <c r="T35" i="44"/>
  <c r="T19" i="44" s="1"/>
  <c r="U35" i="44"/>
  <c r="V35" i="44"/>
  <c r="W35" i="44"/>
  <c r="X35" i="44"/>
  <c r="Y35" i="44"/>
  <c r="Z35" i="44"/>
  <c r="AA35" i="44"/>
  <c r="AB35" i="44"/>
  <c r="AC35" i="44"/>
  <c r="AD35" i="44"/>
  <c r="D36" i="44"/>
  <c r="E36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D37" i="44"/>
  <c r="E37" i="44"/>
  <c r="F37" i="44"/>
  <c r="G37" i="44"/>
  <c r="H37" i="44"/>
  <c r="I37" i="44"/>
  <c r="I18" i="44" s="1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Y18" i="44" s="1"/>
  <c r="Z37" i="44"/>
  <c r="AA37" i="44"/>
  <c r="AB37" i="44"/>
  <c r="AC37" i="44"/>
  <c r="AD37" i="44"/>
  <c r="D38" i="44"/>
  <c r="D20" i="44" s="1"/>
  <c r="E38" i="44"/>
  <c r="F38" i="44"/>
  <c r="F20" i="44" s="1"/>
  <c r="G38" i="44"/>
  <c r="H38" i="44"/>
  <c r="I38" i="44"/>
  <c r="J38" i="44"/>
  <c r="K38" i="44"/>
  <c r="L38" i="44"/>
  <c r="L20" i="44" s="1"/>
  <c r="M38" i="44"/>
  <c r="N38" i="44"/>
  <c r="N20" i="44" s="1"/>
  <c r="O38" i="44"/>
  <c r="P38" i="44"/>
  <c r="Q38" i="44"/>
  <c r="R38" i="44"/>
  <c r="S38" i="44"/>
  <c r="T38" i="44"/>
  <c r="T20" i="44" s="1"/>
  <c r="U38" i="44"/>
  <c r="V38" i="44"/>
  <c r="V20" i="44" s="1"/>
  <c r="W38" i="44"/>
  <c r="X38" i="44"/>
  <c r="Y38" i="44"/>
  <c r="Z38" i="44"/>
  <c r="AA38" i="44"/>
  <c r="AA20" i="44" s="1"/>
  <c r="AB38" i="44"/>
  <c r="AC38" i="44"/>
  <c r="AC20" i="44" s="1"/>
  <c r="AD38" i="44"/>
  <c r="AD20" i="44" s="1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O20" i="45"/>
  <c r="V20" i="45"/>
  <c r="W20" i="45"/>
  <c r="AB20" i="45"/>
  <c r="AD20" i="45"/>
  <c r="D26" i="45"/>
  <c r="E26" i="45"/>
  <c r="F26" i="45"/>
  <c r="G26" i="45"/>
  <c r="H26" i="45"/>
  <c r="I26" i="45"/>
  <c r="J26" i="45"/>
  <c r="K26" i="45"/>
  <c r="L26" i="45"/>
  <c r="AG26" i="45"/>
  <c r="D27" i="45"/>
  <c r="E27" i="45"/>
  <c r="F27" i="45"/>
  <c r="G27" i="45"/>
  <c r="H27" i="45"/>
  <c r="I27" i="45"/>
  <c r="J27" i="45"/>
  <c r="K27" i="45"/>
  <c r="L27" i="45"/>
  <c r="AG27" i="45"/>
  <c r="D28" i="45"/>
  <c r="E28" i="45"/>
  <c r="F28" i="45"/>
  <c r="G28" i="45"/>
  <c r="H28" i="45"/>
  <c r="I28" i="45"/>
  <c r="J28" i="45"/>
  <c r="K28" i="45"/>
  <c r="L28" i="45"/>
  <c r="O17" i="45"/>
  <c r="AG28" i="45"/>
  <c r="D29" i="45"/>
  <c r="E29" i="45"/>
  <c r="F29" i="45"/>
  <c r="G29" i="45"/>
  <c r="H29" i="45"/>
  <c r="I29" i="45"/>
  <c r="J29" i="45"/>
  <c r="K29" i="45"/>
  <c r="L29" i="45"/>
  <c r="AG29" i="45"/>
  <c r="D30" i="45"/>
  <c r="E30" i="45"/>
  <c r="F30" i="45"/>
  <c r="G30" i="45"/>
  <c r="AG30" i="45"/>
  <c r="D31" i="45"/>
  <c r="E31" i="45"/>
  <c r="F31" i="45"/>
  <c r="G31" i="45"/>
  <c r="AG31" i="45"/>
  <c r="D32" i="45"/>
  <c r="E32" i="45"/>
  <c r="F32" i="45"/>
  <c r="G32" i="45"/>
  <c r="AG32" i="45"/>
  <c r="D33" i="45"/>
  <c r="E33" i="45"/>
  <c r="F33" i="45"/>
  <c r="G33" i="45"/>
  <c r="AG33" i="45"/>
  <c r="D34" i="45"/>
  <c r="E34" i="45"/>
  <c r="F34" i="45"/>
  <c r="G34" i="45"/>
  <c r="AG34" i="45"/>
  <c r="AG17" i="45" s="1"/>
  <c r="D35" i="45"/>
  <c r="E35" i="45"/>
  <c r="F35" i="45"/>
  <c r="G35" i="45"/>
  <c r="AG35" i="45"/>
  <c r="D36" i="45"/>
  <c r="E36" i="45"/>
  <c r="F36" i="45"/>
  <c r="G36" i="45"/>
  <c r="G19" i="45" s="1"/>
  <c r="AG36" i="45"/>
  <c r="D37" i="45"/>
  <c r="E37" i="45"/>
  <c r="F37" i="45"/>
  <c r="G37" i="45"/>
  <c r="AG37" i="45"/>
  <c r="D38" i="45"/>
  <c r="E38" i="45"/>
  <c r="F38" i="45"/>
  <c r="G38" i="45"/>
  <c r="I20" i="45"/>
  <c r="K20" i="45"/>
  <c r="L20" i="45"/>
  <c r="S20" i="45"/>
  <c r="AF20" i="45"/>
  <c r="AG38" i="45"/>
  <c r="AG20" i="45" s="1"/>
  <c r="P17" i="45"/>
  <c r="T20" i="45"/>
  <c r="Z20" i="45"/>
  <c r="AN38" i="43"/>
  <c r="AM38" i="43"/>
  <c r="AL38" i="43"/>
  <c r="AK38" i="43"/>
  <c r="AJ38" i="43"/>
  <c r="AI38" i="43"/>
  <c r="AI20" i="43"/>
  <c r="AH38" i="43"/>
  <c r="AH20" i="43"/>
  <c r="AN37" i="43"/>
  <c r="AM37" i="43"/>
  <c r="AL37" i="43"/>
  <c r="AK37" i="43"/>
  <c r="AJ37" i="43"/>
  <c r="AI37" i="43"/>
  <c r="AH37" i="43"/>
  <c r="AN36" i="43"/>
  <c r="AM36" i="43"/>
  <c r="AL36" i="43"/>
  <c r="AK36" i="43"/>
  <c r="AJ36" i="43"/>
  <c r="AI36" i="43"/>
  <c r="AH36" i="43"/>
  <c r="AN35" i="43"/>
  <c r="AM35" i="43"/>
  <c r="AL35" i="43"/>
  <c r="AK35" i="43"/>
  <c r="AJ35" i="43"/>
  <c r="AI35" i="43"/>
  <c r="AH35" i="43"/>
  <c r="AN34" i="43"/>
  <c r="AM34" i="43"/>
  <c r="AM17" i="43"/>
  <c r="AL34" i="43"/>
  <c r="AL17" i="43"/>
  <c r="AK34" i="43"/>
  <c r="AJ34" i="43"/>
  <c r="AI34" i="43"/>
  <c r="AH34" i="43"/>
  <c r="AN33" i="43"/>
  <c r="AM33" i="43"/>
  <c r="AL33" i="43"/>
  <c r="AK33" i="43"/>
  <c r="AJ33" i="43"/>
  <c r="AI33" i="43"/>
  <c r="AH33" i="43"/>
  <c r="AN32" i="43"/>
  <c r="AM32" i="43"/>
  <c r="AL32" i="43"/>
  <c r="AK32" i="43"/>
  <c r="AJ32" i="43"/>
  <c r="AI32" i="43"/>
  <c r="AH32" i="43"/>
  <c r="AN31" i="43"/>
  <c r="AM31" i="43"/>
  <c r="AL31" i="43"/>
  <c r="AK31" i="43"/>
  <c r="AJ31" i="43"/>
  <c r="AI31" i="43"/>
  <c r="AH31" i="43"/>
  <c r="AN30" i="43"/>
  <c r="AM30" i="43"/>
  <c r="AL30" i="43"/>
  <c r="AK30" i="43"/>
  <c r="AJ30" i="43"/>
  <c r="AI30" i="43"/>
  <c r="AH30" i="43"/>
  <c r="AN29" i="43"/>
  <c r="AM29" i="43"/>
  <c r="AL29" i="43"/>
  <c r="AL19" i="43"/>
  <c r="AK29" i="43"/>
  <c r="AJ29" i="43"/>
  <c r="AI29" i="43"/>
  <c r="AH29" i="43"/>
  <c r="AN28" i="43"/>
  <c r="AN17" i="43"/>
  <c r="AM28" i="43"/>
  <c r="AL28" i="43"/>
  <c r="AK28" i="43"/>
  <c r="AJ28" i="43"/>
  <c r="AJ17" i="43"/>
  <c r="AI28" i="43"/>
  <c r="AH28" i="43"/>
  <c r="AN27" i="43"/>
  <c r="AM27" i="43"/>
  <c r="AL27" i="43"/>
  <c r="AK27" i="43"/>
  <c r="AJ27" i="43"/>
  <c r="AI27" i="43"/>
  <c r="AH27" i="43"/>
  <c r="AN26" i="43"/>
  <c r="AM26" i="43"/>
  <c r="AM18" i="43"/>
  <c r="AL26" i="43"/>
  <c r="AK26" i="43"/>
  <c r="AK18" i="43"/>
  <c r="AK21" i="43"/>
  <c r="AJ26" i="43"/>
  <c r="AI26" i="43"/>
  <c r="AH26" i="43"/>
  <c r="AN20" i="43"/>
  <c r="AM20" i="43"/>
  <c r="AL20" i="43"/>
  <c r="AK20" i="43"/>
  <c r="AJ20" i="43"/>
  <c r="AK19" i="43"/>
  <c r="AJ19" i="43"/>
  <c r="AI19" i="43"/>
  <c r="AH18" i="43"/>
  <c r="AK17" i="43"/>
  <c r="AI17" i="43"/>
  <c r="AH17" i="43"/>
  <c r="Y26" i="46"/>
  <c r="Z26" i="46"/>
  <c r="AA26" i="46"/>
  <c r="AB26" i="46"/>
  <c r="AC26" i="46"/>
  <c r="AD26" i="46"/>
  <c r="AE26" i="46"/>
  <c r="AF26" i="46"/>
  <c r="Y27" i="46"/>
  <c r="Z27" i="46"/>
  <c r="AA27" i="46"/>
  <c r="AB27" i="46"/>
  <c r="AC27" i="46"/>
  <c r="AD27" i="46"/>
  <c r="AE27" i="46"/>
  <c r="AF27" i="46"/>
  <c r="Y28" i="46"/>
  <c r="Z28" i="46"/>
  <c r="AA28" i="46"/>
  <c r="AB28" i="46"/>
  <c r="AC28" i="46"/>
  <c r="AD28" i="46"/>
  <c r="AE28" i="46"/>
  <c r="AF28" i="46"/>
  <c r="Y29" i="46"/>
  <c r="Z29" i="46"/>
  <c r="AA29" i="46"/>
  <c r="AB29" i="46"/>
  <c r="AC29" i="46"/>
  <c r="AD29" i="46"/>
  <c r="AE29" i="46"/>
  <c r="AF29" i="46"/>
  <c r="Y30" i="46"/>
  <c r="Y19" i="46" s="1"/>
  <c r="Z30" i="46"/>
  <c r="AA30" i="46"/>
  <c r="AB30" i="46"/>
  <c r="AC30" i="46"/>
  <c r="AD30" i="46"/>
  <c r="AE30" i="46"/>
  <c r="AF30" i="46"/>
  <c r="Y31" i="46"/>
  <c r="Z31" i="46"/>
  <c r="Z18" i="46" s="1"/>
  <c r="AA31" i="46"/>
  <c r="AB31" i="46"/>
  <c r="AC31" i="46"/>
  <c r="AD31" i="46"/>
  <c r="AE31" i="46"/>
  <c r="AF31" i="46"/>
  <c r="Y32" i="46"/>
  <c r="Z32" i="46"/>
  <c r="AA32" i="46"/>
  <c r="AB32" i="46"/>
  <c r="AC32" i="46"/>
  <c r="AD32" i="46"/>
  <c r="AE32" i="46"/>
  <c r="AF32" i="46"/>
  <c r="Y33" i="46"/>
  <c r="Z33" i="46"/>
  <c r="AA33" i="46"/>
  <c r="AB33" i="46"/>
  <c r="AC33" i="46"/>
  <c r="AD33" i="46"/>
  <c r="AE33" i="46"/>
  <c r="AF33" i="46"/>
  <c r="L17" i="46"/>
  <c r="R17" i="46"/>
  <c r="Y34" i="46"/>
  <c r="Z34" i="46"/>
  <c r="Z17" i="46" s="1"/>
  <c r="AA34" i="46"/>
  <c r="AB34" i="46"/>
  <c r="AB17" i="46" s="1"/>
  <c r="AC34" i="46"/>
  <c r="Y35" i="46"/>
  <c r="Z35" i="46"/>
  <c r="AA35" i="46"/>
  <c r="AB35" i="46"/>
  <c r="AB19" i="46" s="1"/>
  <c r="AC35" i="46"/>
  <c r="Y36" i="46"/>
  <c r="Z36" i="46"/>
  <c r="AA36" i="46"/>
  <c r="AB36" i="46"/>
  <c r="AC36" i="46"/>
  <c r="Y37" i="46"/>
  <c r="Z37" i="46"/>
  <c r="AA37" i="46"/>
  <c r="AB37" i="46"/>
  <c r="AC37" i="46"/>
  <c r="AC18" i="46" s="1"/>
  <c r="P20" i="46"/>
  <c r="X20" i="46"/>
  <c r="Y38" i="46"/>
  <c r="Z38" i="46"/>
  <c r="AA38" i="46"/>
  <c r="AB38" i="46"/>
  <c r="AC38" i="46"/>
  <c r="AF20" i="46"/>
  <c r="M18" i="44"/>
  <c r="G17" i="44"/>
  <c r="N17" i="44"/>
  <c r="V17" i="44"/>
  <c r="AD17" i="44"/>
  <c r="L19" i="44"/>
  <c r="E19" i="44"/>
  <c r="P19" i="44"/>
  <c r="U19" i="44"/>
  <c r="AB18" i="44"/>
  <c r="E17" i="44"/>
  <c r="F17" i="44"/>
  <c r="M17" i="44"/>
  <c r="X17" i="44"/>
  <c r="H19" i="44"/>
  <c r="E20" i="44"/>
  <c r="G20" i="44"/>
  <c r="J20" i="44"/>
  <c r="K20" i="44"/>
  <c r="M20" i="44"/>
  <c r="P20" i="44"/>
  <c r="Z20" i="44"/>
  <c r="AB20" i="44"/>
  <c r="AF26" i="43"/>
  <c r="AG26" i="43"/>
  <c r="AF27" i="43"/>
  <c r="AG27" i="43"/>
  <c r="AF28" i="43"/>
  <c r="AG28" i="43"/>
  <c r="AG17" i="43"/>
  <c r="AF29" i="43"/>
  <c r="AG29" i="43"/>
  <c r="AF30" i="43"/>
  <c r="AG30" i="43"/>
  <c r="AF31" i="43"/>
  <c r="AG31" i="43"/>
  <c r="AF32" i="43"/>
  <c r="AG32" i="43"/>
  <c r="AF33" i="43"/>
  <c r="AG33" i="43"/>
  <c r="AF34" i="43"/>
  <c r="AG34" i="43"/>
  <c r="AF35" i="43"/>
  <c r="AG35" i="43"/>
  <c r="AF36" i="43"/>
  <c r="AG36" i="43"/>
  <c r="AF37" i="43"/>
  <c r="AG37" i="43"/>
  <c r="AF38" i="43"/>
  <c r="AF20" i="43"/>
  <c r="AG38" i="43"/>
  <c r="AG20" i="43"/>
  <c r="J26" i="43"/>
  <c r="K26" i="43"/>
  <c r="L26" i="43"/>
  <c r="M26" i="43"/>
  <c r="N26" i="43"/>
  <c r="J27" i="43"/>
  <c r="K27" i="43"/>
  <c r="L27" i="43"/>
  <c r="M27" i="43"/>
  <c r="N27" i="43"/>
  <c r="J28" i="43"/>
  <c r="K28" i="43"/>
  <c r="L28" i="43"/>
  <c r="M28" i="43"/>
  <c r="N28" i="43"/>
  <c r="J29" i="43"/>
  <c r="K29" i="43"/>
  <c r="L29" i="43"/>
  <c r="M29" i="43"/>
  <c r="N29" i="43"/>
  <c r="D26" i="43"/>
  <c r="E26" i="43"/>
  <c r="F26" i="43"/>
  <c r="G26" i="43"/>
  <c r="H26" i="43"/>
  <c r="I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AA26" i="43"/>
  <c r="AB26" i="43"/>
  <c r="AC26" i="43"/>
  <c r="AD26" i="43"/>
  <c r="AE26" i="43"/>
  <c r="D27" i="43"/>
  <c r="E27" i="43"/>
  <c r="F27" i="43"/>
  <c r="G27" i="43"/>
  <c r="H27" i="43"/>
  <c r="I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AA27" i="43"/>
  <c r="AB27" i="43"/>
  <c r="AC27" i="43"/>
  <c r="AD27" i="43"/>
  <c r="AE27" i="43"/>
  <c r="D28" i="43"/>
  <c r="E28" i="43"/>
  <c r="F28" i="43"/>
  <c r="G28" i="43"/>
  <c r="H28" i="43"/>
  <c r="I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AA28" i="43"/>
  <c r="AB28" i="43"/>
  <c r="AC28" i="43"/>
  <c r="AD28" i="43"/>
  <c r="AE28" i="43"/>
  <c r="D29" i="43"/>
  <c r="E29" i="43"/>
  <c r="F29" i="43"/>
  <c r="G29" i="43"/>
  <c r="H29" i="43"/>
  <c r="I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AA29" i="43"/>
  <c r="AA19" i="43"/>
  <c r="AB29" i="43"/>
  <c r="AB19" i="43"/>
  <c r="AC29" i="43"/>
  <c r="AD29" i="43"/>
  <c r="AE29" i="43"/>
  <c r="D30" i="43"/>
  <c r="E30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AA30" i="43"/>
  <c r="AB30" i="43"/>
  <c r="AC30" i="43"/>
  <c r="AD30" i="43"/>
  <c r="AE30" i="43"/>
  <c r="D31" i="43"/>
  <c r="E31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AA31" i="43"/>
  <c r="AB31" i="43"/>
  <c r="AC31" i="43"/>
  <c r="AD31" i="43"/>
  <c r="AE31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AA32" i="43"/>
  <c r="AB32" i="43"/>
  <c r="AC32" i="43"/>
  <c r="AD32" i="43"/>
  <c r="AE32" i="43"/>
  <c r="D33" i="43"/>
  <c r="E33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AA33" i="43"/>
  <c r="AB33" i="43"/>
  <c r="AC33" i="43"/>
  <c r="AD33" i="43"/>
  <c r="AE33" i="43"/>
  <c r="D34" i="43"/>
  <c r="E34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AA34" i="43"/>
  <c r="AB34" i="43"/>
  <c r="AC34" i="43"/>
  <c r="AD34" i="43"/>
  <c r="AE34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AA35" i="43"/>
  <c r="AB35" i="43"/>
  <c r="AC35" i="43"/>
  <c r="AD35" i="43"/>
  <c r="AE35" i="43"/>
  <c r="D36" i="43"/>
  <c r="E36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V19" i="43"/>
  <c r="V21" i="43"/>
  <c r="W36" i="43"/>
  <c r="W19" i="43"/>
  <c r="W21" i="43"/>
  <c r="X36" i="43"/>
  <c r="X19" i="43"/>
  <c r="X21" i="43"/>
  <c r="Y36" i="43"/>
  <c r="Z36" i="43"/>
  <c r="AA36" i="43"/>
  <c r="AB36" i="43"/>
  <c r="AC36" i="43"/>
  <c r="AD36" i="43"/>
  <c r="AD19" i="43"/>
  <c r="AE36" i="43"/>
  <c r="AE19" i="43"/>
  <c r="D37" i="43"/>
  <c r="E37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AA37" i="43"/>
  <c r="AB37" i="43"/>
  <c r="AC37" i="43"/>
  <c r="AD37" i="43"/>
  <c r="AE37" i="43"/>
  <c r="D38" i="43"/>
  <c r="E38" i="43"/>
  <c r="F38" i="43"/>
  <c r="G38" i="43"/>
  <c r="H38" i="43"/>
  <c r="I38" i="43"/>
  <c r="J38" i="43"/>
  <c r="K38" i="43"/>
  <c r="K20" i="43"/>
  <c r="L38" i="43"/>
  <c r="M38" i="43"/>
  <c r="N38" i="43"/>
  <c r="O38" i="43"/>
  <c r="P38" i="43"/>
  <c r="P20" i="43"/>
  <c r="Q38" i="43"/>
  <c r="R38" i="43"/>
  <c r="S38" i="43"/>
  <c r="S20" i="43"/>
  <c r="T38" i="43"/>
  <c r="U38" i="43"/>
  <c r="V38" i="43"/>
  <c r="W38" i="43"/>
  <c r="X38" i="43"/>
  <c r="X20" i="43"/>
  <c r="Y38" i="43"/>
  <c r="Z38" i="43"/>
  <c r="AA38" i="43"/>
  <c r="AA20" i="43"/>
  <c r="AB38" i="43"/>
  <c r="AC38" i="43"/>
  <c r="AD38" i="43"/>
  <c r="AE38" i="43"/>
  <c r="AE20" i="43"/>
  <c r="C30" i="44"/>
  <c r="C31" i="44"/>
  <c r="C32" i="44"/>
  <c r="C33" i="44"/>
  <c r="C34" i="44"/>
  <c r="C35" i="44"/>
  <c r="C36" i="44"/>
  <c r="I17" i="43"/>
  <c r="J20" i="43"/>
  <c r="L20" i="43"/>
  <c r="M20" i="43"/>
  <c r="Q20" i="43"/>
  <c r="U20" i="43"/>
  <c r="W20" i="43"/>
  <c r="Z20" i="43"/>
  <c r="AB20" i="43"/>
  <c r="AC20" i="43"/>
  <c r="Z27" i="38"/>
  <c r="AA27" i="38"/>
  <c r="AB27" i="38"/>
  <c r="AC27" i="38"/>
  <c r="AD27" i="38"/>
  <c r="AE27" i="38"/>
  <c r="AF27" i="38"/>
  <c r="AG27" i="38"/>
  <c r="Z28" i="38"/>
  <c r="AA28" i="38"/>
  <c r="AB28" i="38"/>
  <c r="AC28" i="38"/>
  <c r="AD28" i="38"/>
  <c r="AE28" i="38"/>
  <c r="AF28" i="38"/>
  <c r="AG28" i="38"/>
  <c r="Z29" i="38"/>
  <c r="AA29" i="38"/>
  <c r="AB29" i="38"/>
  <c r="AC29" i="38"/>
  <c r="AD29" i="38"/>
  <c r="AE29" i="38"/>
  <c r="AF29" i="38"/>
  <c r="AG29" i="38"/>
  <c r="Z30" i="38"/>
  <c r="AA30" i="38"/>
  <c r="AB30" i="38"/>
  <c r="AC30" i="38"/>
  <c r="AD30" i="38"/>
  <c r="AE30" i="38"/>
  <c r="AF30" i="38"/>
  <c r="AG30" i="38"/>
  <c r="Z31" i="38"/>
  <c r="AA31" i="38"/>
  <c r="AB31" i="38"/>
  <c r="AC31" i="38"/>
  <c r="AD31" i="38"/>
  <c r="AE31" i="38"/>
  <c r="AF31" i="38"/>
  <c r="AG31" i="38"/>
  <c r="Z32" i="38"/>
  <c r="AA32" i="38"/>
  <c r="AB32" i="38"/>
  <c r="AC32" i="38"/>
  <c r="AD32" i="38"/>
  <c r="AE32" i="38"/>
  <c r="AF32" i="38"/>
  <c r="AG32" i="38"/>
  <c r="Z33" i="38"/>
  <c r="AA33" i="38"/>
  <c r="AB33" i="38"/>
  <c r="AC33" i="38"/>
  <c r="AD33" i="38"/>
  <c r="AE33" i="38"/>
  <c r="AF33" i="38"/>
  <c r="AG33" i="38"/>
  <c r="Z34" i="38"/>
  <c r="AA34" i="38"/>
  <c r="AB34" i="38"/>
  <c r="AC34" i="38"/>
  <c r="AD34" i="38"/>
  <c r="AE34" i="38"/>
  <c r="AF34" i="38"/>
  <c r="AG34" i="38"/>
  <c r="Z35" i="38"/>
  <c r="AA35" i="38"/>
  <c r="AB35" i="38"/>
  <c r="AC35" i="38"/>
  <c r="AD35" i="38"/>
  <c r="AE35" i="38"/>
  <c r="AF35" i="38"/>
  <c r="AG35" i="38"/>
  <c r="Z36" i="38"/>
  <c r="AA36" i="38"/>
  <c r="AB36" i="38"/>
  <c r="AC36" i="38"/>
  <c r="AD36" i="38"/>
  <c r="AE36" i="38"/>
  <c r="AF36" i="38"/>
  <c r="AG36" i="38"/>
  <c r="Z37" i="38"/>
  <c r="AA37" i="38"/>
  <c r="AB37" i="38"/>
  <c r="AC37" i="38"/>
  <c r="AD37" i="38"/>
  <c r="AE37" i="38"/>
  <c r="AF37" i="38"/>
  <c r="AG37" i="38"/>
  <c r="Z38" i="38"/>
  <c r="AA38" i="38"/>
  <c r="AB38" i="38"/>
  <c r="AC38" i="38"/>
  <c r="AD38" i="38"/>
  <c r="AE38" i="38"/>
  <c r="AF38" i="38"/>
  <c r="AG38" i="38"/>
  <c r="Z39" i="38"/>
  <c r="AA39" i="38"/>
  <c r="AB39" i="38"/>
  <c r="AC39" i="38"/>
  <c r="AD39" i="38"/>
  <c r="AE39" i="38"/>
  <c r="AF39" i="38"/>
  <c r="AF21" i="38"/>
  <c r="AG39" i="38"/>
  <c r="AG21" i="38"/>
  <c r="AD38" i="57"/>
  <c r="AC38" i="57"/>
  <c r="AB38" i="57"/>
  <c r="AA38" i="57"/>
  <c r="AA20" i="57"/>
  <c r="Z38" i="57"/>
  <c r="Z20" i="57"/>
  <c r="Y38" i="57"/>
  <c r="X38" i="57"/>
  <c r="W38" i="57"/>
  <c r="W20" i="57"/>
  <c r="V38" i="57"/>
  <c r="V20" i="57"/>
  <c r="U38" i="57"/>
  <c r="T38" i="57"/>
  <c r="S38" i="57"/>
  <c r="S20" i="57"/>
  <c r="R38" i="57"/>
  <c r="R20" i="57"/>
  <c r="Q38" i="57"/>
  <c r="P38" i="57"/>
  <c r="O38" i="57"/>
  <c r="N38" i="57"/>
  <c r="M38" i="57"/>
  <c r="L38" i="57"/>
  <c r="K38" i="57"/>
  <c r="K20" i="57"/>
  <c r="J38" i="57"/>
  <c r="J20" i="57"/>
  <c r="I38" i="57"/>
  <c r="H38" i="57"/>
  <c r="G38" i="57"/>
  <c r="F38" i="57"/>
  <c r="E38" i="57"/>
  <c r="D38" i="57"/>
  <c r="C20" i="57"/>
  <c r="AD37" i="57"/>
  <c r="AC37" i="57"/>
  <c r="AB37" i="57"/>
  <c r="AA37" i="57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E37" i="57"/>
  <c r="D37" i="57"/>
  <c r="AD36" i="57"/>
  <c r="AC36" i="57"/>
  <c r="AB36" i="57"/>
  <c r="AA36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G36" i="57"/>
  <c r="F36" i="57"/>
  <c r="E36" i="57"/>
  <c r="D36" i="57"/>
  <c r="AD35" i="57"/>
  <c r="AC35" i="57"/>
  <c r="AB35" i="57"/>
  <c r="AA35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G35" i="57"/>
  <c r="F35" i="57"/>
  <c r="E35" i="57"/>
  <c r="D35" i="57"/>
  <c r="AD34" i="57"/>
  <c r="AC34" i="57"/>
  <c r="AC17" i="57" s="1"/>
  <c r="AB34" i="57"/>
  <c r="AA34" i="57"/>
  <c r="Z34" i="57"/>
  <c r="Z17" i="57" s="1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G34" i="57"/>
  <c r="F34" i="57"/>
  <c r="E34" i="57"/>
  <c r="D34" i="57"/>
  <c r="AD33" i="57"/>
  <c r="AC33" i="57"/>
  <c r="AB33" i="57"/>
  <c r="AA33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G33" i="57"/>
  <c r="F33" i="57"/>
  <c r="E33" i="57"/>
  <c r="D33" i="57"/>
  <c r="AD32" i="57"/>
  <c r="AC32" i="57"/>
  <c r="AB32" i="57"/>
  <c r="AA32" i="57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J18" i="57" s="1"/>
  <c r="I32" i="57"/>
  <c r="H32" i="57"/>
  <c r="G32" i="57"/>
  <c r="F32" i="57"/>
  <c r="E32" i="57"/>
  <c r="D32" i="57"/>
  <c r="AD31" i="57"/>
  <c r="AC31" i="57"/>
  <c r="AB31" i="57"/>
  <c r="AA31" i="57"/>
  <c r="Z31" i="57"/>
  <c r="Z18" i="57" s="1"/>
  <c r="Y31" i="57"/>
  <c r="X31" i="57"/>
  <c r="W31" i="57"/>
  <c r="V31" i="57"/>
  <c r="U31" i="57"/>
  <c r="T31" i="57"/>
  <c r="S31" i="57"/>
  <c r="R31" i="57"/>
  <c r="Q31" i="57"/>
  <c r="Q18" i="57" s="1"/>
  <c r="Q21" i="57" s="1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AD30" i="57"/>
  <c r="AC30" i="57"/>
  <c r="AB30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AD29" i="57"/>
  <c r="AC29" i="57"/>
  <c r="AB29" i="57"/>
  <c r="AA29" i="57"/>
  <c r="Z29" i="57"/>
  <c r="Z19" i="57"/>
  <c r="Y29" i="57"/>
  <c r="Y19" i="57"/>
  <c r="X29" i="57"/>
  <c r="X19" i="57" s="1"/>
  <c r="W29" i="57"/>
  <c r="W19" i="57" s="1"/>
  <c r="V29" i="57"/>
  <c r="U29" i="57"/>
  <c r="T29" i="57"/>
  <c r="S29" i="57"/>
  <c r="R29" i="57"/>
  <c r="R19" i="57"/>
  <c r="Q29" i="57"/>
  <c r="Q19" i="57"/>
  <c r="P29" i="57"/>
  <c r="P19" i="57" s="1"/>
  <c r="O29" i="57"/>
  <c r="O19" i="57" s="1"/>
  <c r="N29" i="57"/>
  <c r="N19" i="57" s="1"/>
  <c r="N21" i="57" s="1"/>
  <c r="M29" i="57"/>
  <c r="L29" i="57"/>
  <c r="K29" i="57"/>
  <c r="J29" i="57"/>
  <c r="J19" i="57"/>
  <c r="I29" i="57"/>
  <c r="H29" i="57"/>
  <c r="G29" i="57"/>
  <c r="F29" i="57"/>
  <c r="E29" i="57"/>
  <c r="D29" i="57"/>
  <c r="AD28" i="57"/>
  <c r="AD17" i="57" s="1"/>
  <c r="AC28" i="57"/>
  <c r="AB28" i="57"/>
  <c r="AA28" i="57"/>
  <c r="Z28" i="57"/>
  <c r="Y28" i="57"/>
  <c r="X28" i="57"/>
  <c r="X17" i="57"/>
  <c r="W28" i="57"/>
  <c r="W17" i="57" s="1"/>
  <c r="V28" i="57"/>
  <c r="V17" i="57" s="1"/>
  <c r="U28" i="57"/>
  <c r="U17" i="57" s="1"/>
  <c r="T28" i="57"/>
  <c r="T17" i="57" s="1"/>
  <c r="S28" i="57"/>
  <c r="S17" i="57" s="1"/>
  <c r="R28" i="57"/>
  <c r="Q28" i="57"/>
  <c r="P28" i="57"/>
  <c r="P17" i="57" s="1"/>
  <c r="O28" i="57"/>
  <c r="O17" i="57" s="1"/>
  <c r="N28" i="57"/>
  <c r="N17" i="57" s="1"/>
  <c r="M28" i="57"/>
  <c r="L28" i="57"/>
  <c r="K28" i="57"/>
  <c r="J28" i="57"/>
  <c r="I28" i="57"/>
  <c r="H28" i="57"/>
  <c r="H17" i="57" s="1"/>
  <c r="G28" i="57"/>
  <c r="G17" i="57" s="1"/>
  <c r="F28" i="57"/>
  <c r="F17" i="57" s="1"/>
  <c r="E28" i="57"/>
  <c r="E17" i="57" s="1"/>
  <c r="D28" i="57"/>
  <c r="C17" i="57"/>
  <c r="AD27" i="57"/>
  <c r="AD18" i="57" s="1"/>
  <c r="AD21" i="57" s="1"/>
  <c r="AC27" i="57"/>
  <c r="AB27" i="57"/>
  <c r="AA27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AD26" i="57"/>
  <c r="AC26" i="57"/>
  <c r="AC18" i="57" s="1"/>
  <c r="AB26" i="57"/>
  <c r="AB18" i="57" s="1"/>
  <c r="AA26" i="57"/>
  <c r="AA18" i="57" s="1"/>
  <c r="Z26" i="57"/>
  <c r="Y26" i="57"/>
  <c r="Y18" i="57"/>
  <c r="X26" i="57"/>
  <c r="X18" i="57"/>
  <c r="W26" i="57"/>
  <c r="W18" i="57"/>
  <c r="V26" i="57"/>
  <c r="V18" i="57"/>
  <c r="U26" i="57"/>
  <c r="U18" i="57" s="1"/>
  <c r="T26" i="57"/>
  <c r="S26" i="57"/>
  <c r="R26" i="57"/>
  <c r="Q26" i="57"/>
  <c r="P26" i="57"/>
  <c r="P18" i="57"/>
  <c r="O26" i="57"/>
  <c r="N26" i="57"/>
  <c r="N18" i="57"/>
  <c r="M26" i="57"/>
  <c r="L26" i="57"/>
  <c r="L18" i="57" s="1"/>
  <c r="K26" i="57"/>
  <c r="J26" i="57"/>
  <c r="I26" i="57"/>
  <c r="H26" i="57"/>
  <c r="G26" i="57"/>
  <c r="G18" i="57"/>
  <c r="F26" i="57"/>
  <c r="F18" i="57"/>
  <c r="E26" i="57"/>
  <c r="D26" i="57"/>
  <c r="AD20" i="57"/>
  <c r="AC20" i="57"/>
  <c r="AB20" i="57"/>
  <c r="Y20" i="57"/>
  <c r="X20" i="57"/>
  <c r="U20" i="57"/>
  <c r="T20" i="57"/>
  <c r="Q20" i="57"/>
  <c r="P20" i="57"/>
  <c r="O20" i="57"/>
  <c r="N20" i="57"/>
  <c r="M20" i="57"/>
  <c r="L20" i="57"/>
  <c r="I20" i="57"/>
  <c r="H20" i="57"/>
  <c r="G20" i="57"/>
  <c r="F20" i="57"/>
  <c r="E20" i="57"/>
  <c r="D20" i="57"/>
  <c r="AD19" i="57"/>
  <c r="AC19" i="57"/>
  <c r="AB19" i="57"/>
  <c r="AA19" i="57"/>
  <c r="V19" i="57"/>
  <c r="U19" i="57"/>
  <c r="T19" i="57"/>
  <c r="S19" i="57"/>
  <c r="M19" i="57"/>
  <c r="K19" i="57"/>
  <c r="F19" i="57"/>
  <c r="E19" i="57"/>
  <c r="R18" i="57"/>
  <c r="AB17" i="57"/>
  <c r="AA17" i="57"/>
  <c r="Y17" i="57"/>
  <c r="R17" i="57"/>
  <c r="R21" i="57"/>
  <c r="Q17" i="57"/>
  <c r="M17" i="57"/>
  <c r="M21" i="57" s="1"/>
  <c r="L17" i="57"/>
  <c r="K17" i="57"/>
  <c r="J17" i="57"/>
  <c r="I17" i="57"/>
  <c r="D17" i="57"/>
  <c r="Y17" i="43"/>
  <c r="G20" i="43"/>
  <c r="H20" i="43"/>
  <c r="O20" i="43"/>
  <c r="Y20" i="43"/>
  <c r="AD20" i="43"/>
  <c r="AG38" i="56"/>
  <c r="AG20" i="56" s="1"/>
  <c r="AF38" i="56"/>
  <c r="AF20" i="56" s="1"/>
  <c r="AE38" i="56"/>
  <c r="AE20" i="56" s="1"/>
  <c r="AD38" i="56"/>
  <c r="AC38" i="56"/>
  <c r="AC20" i="56" s="1"/>
  <c r="AB38" i="56"/>
  <c r="AA38" i="56"/>
  <c r="AA20" i="56"/>
  <c r="Z38" i="56"/>
  <c r="Z20" i="56"/>
  <c r="Y38" i="56"/>
  <c r="Y20" i="56" s="1"/>
  <c r="X38" i="56"/>
  <c r="X20" i="56" s="1"/>
  <c r="W38" i="56"/>
  <c r="V38" i="56"/>
  <c r="U38" i="56"/>
  <c r="U20" i="56" s="1"/>
  <c r="T38" i="56"/>
  <c r="S38" i="56"/>
  <c r="S20" i="56"/>
  <c r="R38" i="56"/>
  <c r="R20" i="56" s="1"/>
  <c r="Q38" i="56"/>
  <c r="Q20" i="56" s="1"/>
  <c r="P38" i="56"/>
  <c r="P20" i="56" s="1"/>
  <c r="O38" i="56"/>
  <c r="O20" i="56" s="1"/>
  <c r="N38" i="56"/>
  <c r="N20" i="56" s="1"/>
  <c r="M38" i="56"/>
  <c r="M20" i="56" s="1"/>
  <c r="L38" i="56"/>
  <c r="K38" i="56"/>
  <c r="K20" i="56"/>
  <c r="J38" i="56"/>
  <c r="J20" i="56"/>
  <c r="I38" i="56"/>
  <c r="I20" i="56"/>
  <c r="H38" i="56"/>
  <c r="G38" i="56"/>
  <c r="F38" i="56"/>
  <c r="E38" i="56"/>
  <c r="D38" i="56"/>
  <c r="C38" i="56"/>
  <c r="C20" i="56"/>
  <c r="AG37" i="56"/>
  <c r="AF37" i="56"/>
  <c r="AE37" i="56"/>
  <c r="AD37" i="56"/>
  <c r="AC37" i="56"/>
  <c r="AB37" i="56"/>
  <c r="AA37" i="56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AG36" i="56"/>
  <c r="AF36" i="56"/>
  <c r="AE36" i="56"/>
  <c r="AD36" i="56"/>
  <c r="AC36" i="56"/>
  <c r="AB36" i="56"/>
  <c r="AA36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AG35" i="56"/>
  <c r="AF35" i="56"/>
  <c r="AE35" i="56"/>
  <c r="AD35" i="56"/>
  <c r="AC35" i="56"/>
  <c r="AB35" i="56"/>
  <c r="AA35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AG34" i="56"/>
  <c r="AF34" i="56"/>
  <c r="AE34" i="56"/>
  <c r="AD34" i="56"/>
  <c r="AC34" i="56"/>
  <c r="AB34" i="56"/>
  <c r="AA34" i="56"/>
  <c r="Z34" i="56"/>
  <c r="Y34" i="56"/>
  <c r="F34" i="56"/>
  <c r="E34" i="56"/>
  <c r="D34" i="56"/>
  <c r="C34" i="56"/>
  <c r="AG33" i="56"/>
  <c r="AF33" i="56"/>
  <c r="AE33" i="56"/>
  <c r="AD33" i="56"/>
  <c r="AC33" i="56"/>
  <c r="AB33" i="56"/>
  <c r="AA33" i="56"/>
  <c r="Z33" i="56"/>
  <c r="Y33" i="56"/>
  <c r="F33" i="56"/>
  <c r="E33" i="56"/>
  <c r="D33" i="56"/>
  <c r="C33" i="56"/>
  <c r="AG32" i="56"/>
  <c r="AF32" i="56"/>
  <c r="AE32" i="56"/>
  <c r="AD32" i="56"/>
  <c r="AC32" i="56"/>
  <c r="AB32" i="56"/>
  <c r="AA32" i="56"/>
  <c r="Z32" i="56"/>
  <c r="Y32" i="56"/>
  <c r="F32" i="56"/>
  <c r="E32" i="56"/>
  <c r="D32" i="56"/>
  <c r="C32" i="56"/>
  <c r="AG31" i="56"/>
  <c r="AF31" i="56"/>
  <c r="AF18" i="56" s="1"/>
  <c r="AE31" i="56"/>
  <c r="AD31" i="56"/>
  <c r="AC31" i="56"/>
  <c r="AB31" i="56"/>
  <c r="AA31" i="56"/>
  <c r="Z31" i="56"/>
  <c r="Y31" i="56"/>
  <c r="P18" i="56"/>
  <c r="I18" i="56"/>
  <c r="H18" i="56"/>
  <c r="F31" i="56"/>
  <c r="E31" i="56"/>
  <c r="D31" i="56"/>
  <c r="C31" i="56"/>
  <c r="AG30" i="56"/>
  <c r="AF30" i="56"/>
  <c r="AE30" i="56"/>
  <c r="AD30" i="56"/>
  <c r="AC30" i="56"/>
  <c r="AB30" i="56"/>
  <c r="AA30" i="56"/>
  <c r="Z30" i="56"/>
  <c r="Y30" i="56"/>
  <c r="Y19" i="56" s="1"/>
  <c r="K19" i="56"/>
  <c r="J19" i="56"/>
  <c r="F30" i="56"/>
  <c r="E30" i="56"/>
  <c r="D30" i="56"/>
  <c r="D19" i="56" s="1"/>
  <c r="C30" i="56"/>
  <c r="AG29" i="56"/>
  <c r="AG19" i="56" s="1"/>
  <c r="AF29" i="56"/>
  <c r="AE29" i="56"/>
  <c r="AD29" i="56"/>
  <c r="AD19" i="56" s="1"/>
  <c r="AC29" i="56"/>
  <c r="AB29" i="56"/>
  <c r="AB19" i="56"/>
  <c r="AA29" i="56"/>
  <c r="Z29" i="56"/>
  <c r="Z19" i="56" s="1"/>
  <c r="Y29" i="56"/>
  <c r="R19" i="56"/>
  <c r="P19" i="56"/>
  <c r="O19" i="56"/>
  <c r="M19" i="56"/>
  <c r="L19" i="56"/>
  <c r="H19" i="56"/>
  <c r="G19" i="56"/>
  <c r="F29" i="56"/>
  <c r="F19" i="56" s="1"/>
  <c r="E29" i="56"/>
  <c r="D29" i="56"/>
  <c r="C29" i="56"/>
  <c r="C19" i="56"/>
  <c r="AG28" i="56"/>
  <c r="AG17" i="56" s="1"/>
  <c r="AF28" i="56"/>
  <c r="AE28" i="56"/>
  <c r="AD28" i="56"/>
  <c r="AD17" i="56" s="1"/>
  <c r="AC28" i="56"/>
  <c r="AB28" i="56"/>
  <c r="AB17" i="56" s="1"/>
  <c r="AA28" i="56"/>
  <c r="AA17" i="56" s="1"/>
  <c r="Z28" i="56"/>
  <c r="Z17" i="56" s="1"/>
  <c r="Y28" i="56"/>
  <c r="X28" i="56"/>
  <c r="X17" i="56"/>
  <c r="W28" i="56"/>
  <c r="V28" i="56"/>
  <c r="U28" i="56"/>
  <c r="T28" i="56"/>
  <c r="T17" i="56"/>
  <c r="S28" i="56"/>
  <c r="S17" i="56" s="1"/>
  <c r="R28" i="56"/>
  <c r="R17" i="56" s="1"/>
  <c r="Q28" i="56"/>
  <c r="P28" i="56"/>
  <c r="P17" i="56"/>
  <c r="O28" i="56"/>
  <c r="O17" i="56" s="1"/>
  <c r="N28" i="56"/>
  <c r="N17" i="56"/>
  <c r="M28" i="56"/>
  <c r="L28" i="56"/>
  <c r="K28" i="56"/>
  <c r="J28" i="56"/>
  <c r="I28" i="56"/>
  <c r="H28" i="56"/>
  <c r="G28" i="56"/>
  <c r="G17" i="56" s="1"/>
  <c r="F28" i="56"/>
  <c r="F17" i="56" s="1"/>
  <c r="E28" i="56"/>
  <c r="E17" i="56" s="1"/>
  <c r="D28" i="56"/>
  <c r="D17" i="56" s="1"/>
  <c r="C28" i="56"/>
  <c r="C17" i="56"/>
  <c r="AG27" i="56"/>
  <c r="AF27" i="56"/>
  <c r="AE27" i="56"/>
  <c r="AD27" i="56"/>
  <c r="AC27" i="56"/>
  <c r="AC18" i="56" s="1"/>
  <c r="AB27" i="56"/>
  <c r="AA27" i="56"/>
  <c r="Z27" i="56"/>
  <c r="Z18" i="56" s="1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J18" i="56" s="1"/>
  <c r="I27" i="56"/>
  <c r="H27" i="56"/>
  <c r="G27" i="56"/>
  <c r="F27" i="56"/>
  <c r="E27" i="56"/>
  <c r="D27" i="56"/>
  <c r="D18" i="56" s="1"/>
  <c r="C27" i="56"/>
  <c r="AG26" i="56"/>
  <c r="AF26" i="56"/>
  <c r="AE26" i="56"/>
  <c r="AD26" i="56"/>
  <c r="AC26" i="56"/>
  <c r="AB26" i="56"/>
  <c r="AB18" i="56"/>
  <c r="AA26" i="56"/>
  <c r="AA18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N18" i="56"/>
  <c r="M26" i="56"/>
  <c r="L26" i="56"/>
  <c r="K26" i="56"/>
  <c r="J26" i="56"/>
  <c r="I26" i="56"/>
  <c r="H26" i="56"/>
  <c r="G26" i="56"/>
  <c r="F26" i="56"/>
  <c r="F18" i="56" s="1"/>
  <c r="E26" i="56"/>
  <c r="E18" i="56" s="1"/>
  <c r="D26" i="56"/>
  <c r="C26" i="56"/>
  <c r="AD20" i="56"/>
  <c r="AB20" i="56"/>
  <c r="W20" i="56"/>
  <c r="V20" i="56"/>
  <c r="T20" i="56"/>
  <c r="L20" i="56"/>
  <c r="H20" i="56"/>
  <c r="G20" i="56"/>
  <c r="F20" i="56"/>
  <c r="E20" i="56"/>
  <c r="D20" i="56"/>
  <c r="E19" i="56"/>
  <c r="AC17" i="56"/>
  <c r="M17" i="56"/>
  <c r="L17" i="56"/>
  <c r="J17" i="56"/>
  <c r="I17" i="56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K35" i="38"/>
  <c r="L35" i="38"/>
  <c r="M35" i="38"/>
  <c r="N35" i="38"/>
  <c r="O35" i="38"/>
  <c r="P35" i="38"/>
  <c r="Q35" i="38"/>
  <c r="R35" i="38"/>
  <c r="R18" i="38"/>
  <c r="S35" i="38"/>
  <c r="T35" i="38"/>
  <c r="U35" i="38"/>
  <c r="V35" i="38"/>
  <c r="W35" i="38"/>
  <c r="X35" i="38"/>
  <c r="Y35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W36" i="38"/>
  <c r="X36" i="38"/>
  <c r="Y36" i="38"/>
  <c r="K37" i="38"/>
  <c r="L37" i="38"/>
  <c r="M37" i="38"/>
  <c r="N37" i="38"/>
  <c r="O37" i="38"/>
  <c r="P37" i="38"/>
  <c r="Q37" i="38"/>
  <c r="R37" i="38"/>
  <c r="S37" i="38"/>
  <c r="T37" i="38"/>
  <c r="U37" i="38"/>
  <c r="V37" i="38"/>
  <c r="W37" i="38"/>
  <c r="X37" i="38"/>
  <c r="Y37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K39" i="38"/>
  <c r="L39" i="38"/>
  <c r="M39" i="38"/>
  <c r="N39" i="38"/>
  <c r="O39" i="38"/>
  <c r="P39" i="38"/>
  <c r="P21" i="38"/>
  <c r="Q39" i="38"/>
  <c r="R39" i="38"/>
  <c r="R21" i="38"/>
  <c r="S39" i="38"/>
  <c r="T39" i="38"/>
  <c r="U39" i="38"/>
  <c r="V39" i="38"/>
  <c r="W39" i="38"/>
  <c r="W21" i="38"/>
  <c r="X39" i="38"/>
  <c r="Y39" i="38"/>
  <c r="Z21" i="38"/>
  <c r="J27" i="38"/>
  <c r="J28" i="38"/>
  <c r="J29" i="38"/>
  <c r="F28" i="38"/>
  <c r="G28" i="38"/>
  <c r="H28" i="38"/>
  <c r="I28" i="38"/>
  <c r="F29" i="38"/>
  <c r="G29" i="38"/>
  <c r="H29" i="38"/>
  <c r="I29" i="38"/>
  <c r="F30" i="38"/>
  <c r="G30" i="38"/>
  <c r="H30" i="38"/>
  <c r="I30" i="38"/>
  <c r="J30" i="38"/>
  <c r="F31" i="38"/>
  <c r="G31" i="38"/>
  <c r="H31" i="38"/>
  <c r="I31" i="38"/>
  <c r="J31" i="38"/>
  <c r="F32" i="38"/>
  <c r="G32" i="38"/>
  <c r="H32" i="38"/>
  <c r="I32" i="38"/>
  <c r="J32" i="38"/>
  <c r="F33" i="38"/>
  <c r="G33" i="38"/>
  <c r="H33" i="38"/>
  <c r="I33" i="38"/>
  <c r="J33" i="38"/>
  <c r="F34" i="38"/>
  <c r="G34" i="38"/>
  <c r="H34" i="38"/>
  <c r="I34" i="38"/>
  <c r="J34" i="38"/>
  <c r="F35" i="38"/>
  <c r="G35" i="38"/>
  <c r="H35" i="38"/>
  <c r="I35" i="38"/>
  <c r="J35" i="38"/>
  <c r="J18" i="38"/>
  <c r="F36" i="38"/>
  <c r="G36" i="38"/>
  <c r="H36" i="38"/>
  <c r="I36" i="38"/>
  <c r="J36" i="38"/>
  <c r="F37" i="38"/>
  <c r="G37" i="38"/>
  <c r="H37" i="38"/>
  <c r="I37" i="38"/>
  <c r="J37" i="38"/>
  <c r="F38" i="38"/>
  <c r="G38" i="38"/>
  <c r="H38" i="38"/>
  <c r="I38" i="38"/>
  <c r="J38" i="38"/>
  <c r="F39" i="38"/>
  <c r="F21" i="38"/>
  <c r="G39" i="38"/>
  <c r="G21" i="38"/>
  <c r="H39" i="38"/>
  <c r="I39" i="38"/>
  <c r="J39" i="38"/>
  <c r="O21" i="38"/>
  <c r="U21" i="38"/>
  <c r="V26" i="39"/>
  <c r="W26" i="39"/>
  <c r="V27" i="39"/>
  <c r="W27" i="39"/>
  <c r="V28" i="39"/>
  <c r="W28" i="39"/>
  <c r="V29" i="39"/>
  <c r="W29" i="39"/>
  <c r="V30" i="39"/>
  <c r="W30" i="39"/>
  <c r="X21" i="38"/>
  <c r="AG38" i="55"/>
  <c r="AG37" i="55"/>
  <c r="AG36" i="55"/>
  <c r="AG35" i="55"/>
  <c r="AG34" i="55"/>
  <c r="AG33" i="55"/>
  <c r="AG32" i="55"/>
  <c r="AG31" i="55"/>
  <c r="AG30" i="55"/>
  <c r="AG29" i="55"/>
  <c r="AG19" i="55"/>
  <c r="AG28" i="55"/>
  <c r="AG27" i="55"/>
  <c r="AG26" i="55"/>
  <c r="AG20" i="55"/>
  <c r="AF38" i="55"/>
  <c r="AE38" i="55"/>
  <c r="AD38" i="55"/>
  <c r="AC20" i="55"/>
  <c r="AB38" i="55"/>
  <c r="AB20" i="55"/>
  <c r="AA38" i="55"/>
  <c r="AA20" i="55" s="1"/>
  <c r="Z38" i="55"/>
  <c r="Z20" i="55"/>
  <c r="Y38" i="55"/>
  <c r="Y20" i="55"/>
  <c r="X38" i="55"/>
  <c r="W38" i="55"/>
  <c r="W20" i="55"/>
  <c r="V38" i="55"/>
  <c r="U38" i="55"/>
  <c r="T38" i="55"/>
  <c r="T20" i="55" s="1"/>
  <c r="S38" i="55"/>
  <c r="S20" i="55" s="1"/>
  <c r="R38" i="55"/>
  <c r="R20" i="55"/>
  <c r="Q38" i="55"/>
  <c r="Q20" i="55"/>
  <c r="P38" i="55"/>
  <c r="P20" i="55" s="1"/>
  <c r="O38" i="55"/>
  <c r="N38" i="55"/>
  <c r="M38" i="55"/>
  <c r="M20" i="55"/>
  <c r="L38" i="55"/>
  <c r="L20" i="55" s="1"/>
  <c r="K38" i="55"/>
  <c r="K20" i="55"/>
  <c r="J38" i="55"/>
  <c r="J20" i="55"/>
  <c r="I38" i="55"/>
  <c r="I20" i="55"/>
  <c r="H38" i="55"/>
  <c r="H20" i="55" s="1"/>
  <c r="G38" i="55"/>
  <c r="G20" i="55"/>
  <c r="F38" i="55"/>
  <c r="E38" i="55"/>
  <c r="D38" i="55"/>
  <c r="D20" i="55" s="1"/>
  <c r="C38" i="55"/>
  <c r="C20" i="55"/>
  <c r="AF37" i="55"/>
  <c r="AE37" i="55"/>
  <c r="AD37" i="55"/>
  <c r="AC18" i="55"/>
  <c r="AB37" i="55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E37" i="55"/>
  <c r="D37" i="55"/>
  <c r="C37" i="55"/>
  <c r="AF36" i="55"/>
  <c r="AE36" i="55"/>
  <c r="AD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C36" i="55"/>
  <c r="AF35" i="55"/>
  <c r="AE35" i="55"/>
  <c r="AD35" i="55"/>
  <c r="AC19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Q19" i="55" s="1"/>
  <c r="P35" i="55"/>
  <c r="O35" i="55"/>
  <c r="N35" i="55"/>
  <c r="N19" i="55" s="1"/>
  <c r="M35" i="55"/>
  <c r="M19" i="55" s="1"/>
  <c r="L35" i="55"/>
  <c r="K35" i="55"/>
  <c r="J35" i="55"/>
  <c r="I35" i="55"/>
  <c r="H35" i="55"/>
  <c r="G35" i="55"/>
  <c r="F35" i="55"/>
  <c r="E35" i="55"/>
  <c r="D35" i="55"/>
  <c r="C35" i="55"/>
  <c r="AF34" i="55"/>
  <c r="AE34" i="55"/>
  <c r="AE17" i="55" s="1"/>
  <c r="AD34" i="55"/>
  <c r="AB34" i="55"/>
  <c r="AA34" i="55"/>
  <c r="Z34" i="55"/>
  <c r="Y34" i="55"/>
  <c r="X34" i="55"/>
  <c r="W34" i="55"/>
  <c r="V34" i="55"/>
  <c r="U34" i="55"/>
  <c r="T34" i="55"/>
  <c r="T17" i="55"/>
  <c r="S34" i="55"/>
  <c r="S17" i="55"/>
  <c r="R34" i="55"/>
  <c r="Q34" i="55"/>
  <c r="P34" i="55"/>
  <c r="O34" i="55"/>
  <c r="N34" i="55"/>
  <c r="M34" i="55"/>
  <c r="M17" i="55" s="1"/>
  <c r="L34" i="55"/>
  <c r="K34" i="55"/>
  <c r="J34" i="55"/>
  <c r="I34" i="55"/>
  <c r="H34" i="55"/>
  <c r="H17" i="55" s="1"/>
  <c r="G34" i="55"/>
  <c r="G17" i="55" s="1"/>
  <c r="F34" i="55"/>
  <c r="E34" i="55"/>
  <c r="D34" i="55"/>
  <c r="C34" i="55"/>
  <c r="AF33" i="55"/>
  <c r="AE33" i="55"/>
  <c r="AD33" i="55"/>
  <c r="AC33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J18" i="55" s="1"/>
  <c r="I33" i="55"/>
  <c r="H33" i="55"/>
  <c r="G33" i="55"/>
  <c r="F33" i="55"/>
  <c r="E33" i="55"/>
  <c r="D33" i="55"/>
  <c r="C33" i="55"/>
  <c r="AF32" i="55"/>
  <c r="AE32" i="55"/>
  <c r="AD32" i="55"/>
  <c r="AC32" i="55"/>
  <c r="AB32" i="55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G32" i="55"/>
  <c r="F32" i="55"/>
  <c r="E32" i="55"/>
  <c r="D32" i="55"/>
  <c r="C32" i="55"/>
  <c r="AF31" i="55"/>
  <c r="AE31" i="55"/>
  <c r="AD31" i="55"/>
  <c r="AD18" i="55" s="1"/>
  <c r="AC31" i="55"/>
  <c r="AB31" i="55"/>
  <c r="AA31" i="55"/>
  <c r="Z31" i="55"/>
  <c r="Y31" i="55"/>
  <c r="X31" i="55"/>
  <c r="W31" i="55"/>
  <c r="V31" i="55"/>
  <c r="U31" i="55"/>
  <c r="T31" i="55"/>
  <c r="S31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F31" i="55"/>
  <c r="E31" i="55"/>
  <c r="D31" i="55"/>
  <c r="C31" i="55"/>
  <c r="AF30" i="55"/>
  <c r="AE30" i="55"/>
  <c r="AD30" i="55"/>
  <c r="AC30" i="55"/>
  <c r="AB30" i="55"/>
  <c r="AA30" i="55"/>
  <c r="Z30" i="55"/>
  <c r="Y30" i="55"/>
  <c r="X30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G19" i="55" s="1"/>
  <c r="F30" i="55"/>
  <c r="E30" i="55"/>
  <c r="D30" i="55"/>
  <c r="C30" i="55"/>
  <c r="AF29" i="55"/>
  <c r="AF19" i="55" s="1"/>
  <c r="AE29" i="55"/>
  <c r="AE19" i="55" s="1"/>
  <c r="AD29" i="55"/>
  <c r="AD19" i="55" s="1"/>
  <c r="AC29" i="55"/>
  <c r="AB29" i="55"/>
  <c r="AB19" i="55" s="1"/>
  <c r="AA29" i="55"/>
  <c r="Z29" i="55"/>
  <c r="Y29" i="55"/>
  <c r="Y19" i="55"/>
  <c r="X29" i="55"/>
  <c r="X19" i="55" s="1"/>
  <c r="W29" i="55"/>
  <c r="V29" i="55"/>
  <c r="V19" i="55" s="1"/>
  <c r="U29" i="55"/>
  <c r="T29" i="55"/>
  <c r="S29" i="55"/>
  <c r="S19" i="55" s="1"/>
  <c r="R29" i="55"/>
  <c r="R19" i="55" s="1"/>
  <c r="Q29" i="55"/>
  <c r="P29" i="55"/>
  <c r="P19" i="55" s="1"/>
  <c r="O29" i="55"/>
  <c r="O19" i="55"/>
  <c r="N29" i="55"/>
  <c r="M29" i="55"/>
  <c r="L29" i="55"/>
  <c r="L19" i="55" s="1"/>
  <c r="K29" i="55"/>
  <c r="K19" i="55" s="1"/>
  <c r="J29" i="55"/>
  <c r="J19" i="55" s="1"/>
  <c r="I29" i="55"/>
  <c r="I19" i="55"/>
  <c r="H29" i="55"/>
  <c r="H19" i="55" s="1"/>
  <c r="G29" i="55"/>
  <c r="F29" i="55"/>
  <c r="E29" i="55"/>
  <c r="E19" i="55" s="1"/>
  <c r="D29" i="55"/>
  <c r="C29" i="55"/>
  <c r="C19" i="55" s="1"/>
  <c r="AF28" i="55"/>
  <c r="AE28" i="55"/>
  <c r="AD28" i="55"/>
  <c r="AD17" i="55"/>
  <c r="AC28" i="55"/>
  <c r="AB28" i="55"/>
  <c r="AA28" i="55"/>
  <c r="AA17" i="55" s="1"/>
  <c r="Z28" i="55"/>
  <c r="Z17" i="55" s="1"/>
  <c r="Y28" i="55"/>
  <c r="Y17" i="55" s="1"/>
  <c r="X28" i="55"/>
  <c r="W28" i="55"/>
  <c r="V28" i="55"/>
  <c r="V17" i="55" s="1"/>
  <c r="U28" i="55"/>
  <c r="U17" i="55"/>
  <c r="T28" i="55"/>
  <c r="S28" i="55"/>
  <c r="R28" i="55"/>
  <c r="R17" i="55" s="1"/>
  <c r="Q28" i="55"/>
  <c r="Q17" i="55" s="1"/>
  <c r="P28" i="55"/>
  <c r="P17" i="55" s="1"/>
  <c r="O28" i="55"/>
  <c r="O17" i="55"/>
  <c r="N28" i="55"/>
  <c r="N17" i="55" s="1"/>
  <c r="M28" i="55"/>
  <c r="L28" i="55"/>
  <c r="K28" i="55"/>
  <c r="K17" i="55" s="1"/>
  <c r="J28" i="55"/>
  <c r="J17" i="55" s="1"/>
  <c r="I28" i="55"/>
  <c r="I17" i="55" s="1"/>
  <c r="H28" i="55"/>
  <c r="G28" i="55"/>
  <c r="F28" i="55"/>
  <c r="F17" i="55"/>
  <c r="E28" i="55"/>
  <c r="E17" i="55" s="1"/>
  <c r="D28" i="55"/>
  <c r="D17" i="55" s="1"/>
  <c r="C28" i="55"/>
  <c r="C17" i="55" s="1"/>
  <c r="AF27" i="55"/>
  <c r="AE27" i="55"/>
  <c r="AD27" i="55"/>
  <c r="AC27" i="55"/>
  <c r="AB27" i="55"/>
  <c r="AA27" i="55"/>
  <c r="AA18" i="55"/>
  <c r="Z27" i="55"/>
  <c r="Y27" i="55"/>
  <c r="W27" i="55"/>
  <c r="V27" i="55"/>
  <c r="U27" i="55"/>
  <c r="T27" i="55"/>
  <c r="S27" i="55"/>
  <c r="R27" i="55"/>
  <c r="Q27" i="55"/>
  <c r="P27" i="55"/>
  <c r="O27" i="55"/>
  <c r="O18" i="55" s="1"/>
  <c r="N27" i="55"/>
  <c r="M27" i="55"/>
  <c r="L27" i="55"/>
  <c r="L18" i="55" s="1"/>
  <c r="K27" i="55"/>
  <c r="K18" i="55" s="1"/>
  <c r="J27" i="55"/>
  <c r="I27" i="55"/>
  <c r="H27" i="55"/>
  <c r="G27" i="55"/>
  <c r="F27" i="55"/>
  <c r="E27" i="55"/>
  <c r="D27" i="55"/>
  <c r="C27" i="55"/>
  <c r="AF26" i="55"/>
  <c r="AE26" i="55"/>
  <c r="AD26" i="55"/>
  <c r="AC26" i="55"/>
  <c r="AB26" i="55"/>
  <c r="AB18" i="55" s="1"/>
  <c r="AA26" i="55"/>
  <c r="Z26" i="55"/>
  <c r="Y26" i="55"/>
  <c r="W26" i="55"/>
  <c r="V26" i="55"/>
  <c r="U26" i="55"/>
  <c r="T26" i="55"/>
  <c r="S26" i="55"/>
  <c r="S18" i="55" s="1"/>
  <c r="S21" i="55" s="1"/>
  <c r="R26" i="55"/>
  <c r="R18" i="55" s="1"/>
  <c r="Q26" i="55"/>
  <c r="P26" i="55"/>
  <c r="O26" i="55"/>
  <c r="N26" i="55"/>
  <c r="N18" i="55" s="1"/>
  <c r="M26" i="55"/>
  <c r="M18" i="55" s="1"/>
  <c r="L26" i="55"/>
  <c r="K26" i="55"/>
  <c r="J26" i="55"/>
  <c r="I26" i="55"/>
  <c r="H26" i="55"/>
  <c r="G26" i="55"/>
  <c r="F26" i="55"/>
  <c r="E26" i="55"/>
  <c r="E18" i="55" s="1"/>
  <c r="D26" i="55"/>
  <c r="C26" i="55"/>
  <c r="C18" i="55" s="1"/>
  <c r="AF20" i="55"/>
  <c r="AE20" i="55"/>
  <c r="AD20" i="55"/>
  <c r="X20" i="55"/>
  <c r="V20" i="55"/>
  <c r="U20" i="55"/>
  <c r="O20" i="55"/>
  <c r="N20" i="55"/>
  <c r="F20" i="55"/>
  <c r="E20" i="55"/>
  <c r="D19" i="55"/>
  <c r="X17" i="55"/>
  <c r="W17" i="55"/>
  <c r="AB20" i="54"/>
  <c r="AA20" i="54"/>
  <c r="Z20" i="54"/>
  <c r="Y20" i="54"/>
  <c r="W20" i="54"/>
  <c r="S20" i="54"/>
  <c r="R20" i="54"/>
  <c r="Q20" i="54"/>
  <c r="P20" i="54"/>
  <c r="N38" i="54"/>
  <c r="M38" i="54"/>
  <c r="L38" i="54"/>
  <c r="L20" i="54"/>
  <c r="K38" i="54"/>
  <c r="K20" i="54" s="1"/>
  <c r="J38" i="54"/>
  <c r="J20" i="54"/>
  <c r="I38" i="54"/>
  <c r="I20" i="54" s="1"/>
  <c r="H38" i="54"/>
  <c r="G38" i="54"/>
  <c r="G20" i="54" s="1"/>
  <c r="F38" i="54"/>
  <c r="E38" i="54"/>
  <c r="D38" i="54"/>
  <c r="D20" i="54"/>
  <c r="C38" i="54"/>
  <c r="C20" i="54"/>
  <c r="N37" i="54"/>
  <c r="M37" i="54"/>
  <c r="L37" i="54"/>
  <c r="K37" i="54"/>
  <c r="J37" i="54"/>
  <c r="I37" i="54"/>
  <c r="H37" i="54"/>
  <c r="G37" i="54"/>
  <c r="F37" i="54"/>
  <c r="E37" i="54"/>
  <c r="D37" i="54"/>
  <c r="C37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T17" i="54"/>
  <c r="P17" i="54"/>
  <c r="N34" i="54"/>
  <c r="M34" i="54"/>
  <c r="L34" i="54"/>
  <c r="K34" i="54"/>
  <c r="J34" i="54"/>
  <c r="I34" i="54"/>
  <c r="H34" i="54"/>
  <c r="H17" i="54" s="1"/>
  <c r="G34" i="54"/>
  <c r="F34" i="54"/>
  <c r="E34" i="54"/>
  <c r="D34" i="54"/>
  <c r="D17" i="54" s="1"/>
  <c r="C34" i="54"/>
  <c r="N33" i="54"/>
  <c r="M33" i="54"/>
  <c r="L33" i="54"/>
  <c r="K33" i="54"/>
  <c r="J33" i="54"/>
  <c r="I33" i="54"/>
  <c r="H33" i="54"/>
  <c r="G33" i="54"/>
  <c r="F33" i="54"/>
  <c r="E33" i="54"/>
  <c r="D33" i="54"/>
  <c r="C33" i="54"/>
  <c r="AA18" i="54"/>
  <c r="N32" i="54"/>
  <c r="M32" i="54"/>
  <c r="L32" i="54"/>
  <c r="K32" i="54"/>
  <c r="J32" i="54"/>
  <c r="I32" i="54"/>
  <c r="H32" i="54"/>
  <c r="G32" i="54"/>
  <c r="F32" i="54"/>
  <c r="E32" i="54"/>
  <c r="D32" i="54"/>
  <c r="C32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N30" i="54"/>
  <c r="M30" i="54"/>
  <c r="M19" i="54" s="1"/>
  <c r="L30" i="54"/>
  <c r="K30" i="54"/>
  <c r="K19" i="54" s="1"/>
  <c r="J30" i="54"/>
  <c r="I30" i="54"/>
  <c r="H30" i="54"/>
  <c r="G30" i="54"/>
  <c r="F30" i="54"/>
  <c r="E30" i="54"/>
  <c r="D30" i="54"/>
  <c r="C30" i="54"/>
  <c r="Y19" i="54"/>
  <c r="N29" i="54"/>
  <c r="N19" i="54" s="1"/>
  <c r="M29" i="54"/>
  <c r="L29" i="54"/>
  <c r="L19" i="54" s="1"/>
  <c r="K29" i="54"/>
  <c r="J29" i="54"/>
  <c r="J19" i="54" s="1"/>
  <c r="I29" i="54"/>
  <c r="H29" i="54"/>
  <c r="H19" i="54" s="1"/>
  <c r="G29" i="54"/>
  <c r="F29" i="54"/>
  <c r="F19" i="54"/>
  <c r="E29" i="54"/>
  <c r="D29" i="54"/>
  <c r="D19" i="54"/>
  <c r="C29" i="54"/>
  <c r="C19" i="54"/>
  <c r="AF17" i="54"/>
  <c r="AE17" i="54"/>
  <c r="AB17" i="54"/>
  <c r="AA17" i="54"/>
  <c r="Z17" i="54"/>
  <c r="X17" i="54"/>
  <c r="S17" i="54"/>
  <c r="N28" i="54"/>
  <c r="N17" i="54" s="1"/>
  <c r="M28" i="54"/>
  <c r="L28" i="54"/>
  <c r="K28" i="54"/>
  <c r="J28" i="54"/>
  <c r="I28" i="54"/>
  <c r="I17" i="54"/>
  <c r="H28" i="54"/>
  <c r="G28" i="54"/>
  <c r="G17" i="54" s="1"/>
  <c r="F28" i="54"/>
  <c r="F17" i="54"/>
  <c r="E28" i="54"/>
  <c r="D28" i="54"/>
  <c r="C28" i="54"/>
  <c r="C17" i="54" s="1"/>
  <c r="C21" i="54" s="1"/>
  <c r="N27" i="54"/>
  <c r="M27" i="54"/>
  <c r="L27" i="54"/>
  <c r="K27" i="54"/>
  <c r="J27" i="54"/>
  <c r="I27" i="54"/>
  <c r="H27" i="54"/>
  <c r="G27" i="54"/>
  <c r="F27" i="54"/>
  <c r="E27" i="54"/>
  <c r="D27" i="54"/>
  <c r="C27" i="54"/>
  <c r="N26" i="54"/>
  <c r="M26" i="54"/>
  <c r="L26" i="54"/>
  <c r="L18" i="54" s="1"/>
  <c r="K26" i="54"/>
  <c r="J26" i="54"/>
  <c r="I26" i="54"/>
  <c r="H26" i="54"/>
  <c r="G26" i="54"/>
  <c r="F26" i="54"/>
  <c r="F18" i="54" s="1"/>
  <c r="F21" i="54" s="1"/>
  <c r="E26" i="54"/>
  <c r="E18" i="54" s="1"/>
  <c r="D26" i="54"/>
  <c r="C26" i="54"/>
  <c r="C18" i="54" s="1"/>
  <c r="AF20" i="54"/>
  <c r="AE20" i="54"/>
  <c r="X20" i="54"/>
  <c r="T20" i="54"/>
  <c r="O20" i="54"/>
  <c r="N20" i="54"/>
  <c r="M20" i="54"/>
  <c r="H20" i="54"/>
  <c r="F20" i="54"/>
  <c r="E20" i="54"/>
  <c r="E19" i="54"/>
  <c r="AG38" i="52"/>
  <c r="AF38" i="52"/>
  <c r="AE38" i="52"/>
  <c r="AD38" i="52"/>
  <c r="AC38" i="52"/>
  <c r="AB38" i="52"/>
  <c r="AA38" i="52"/>
  <c r="AA20" i="52"/>
  <c r="Z38" i="52"/>
  <c r="Z20" i="52"/>
  <c r="Y38" i="52"/>
  <c r="X38" i="52"/>
  <c r="W38" i="52"/>
  <c r="V38" i="52"/>
  <c r="U38" i="52"/>
  <c r="T38" i="52"/>
  <c r="S38" i="52"/>
  <c r="S20" i="52"/>
  <c r="R38" i="52"/>
  <c r="R20" i="52"/>
  <c r="Q38" i="52"/>
  <c r="P38" i="52"/>
  <c r="O38" i="52"/>
  <c r="N38" i="52"/>
  <c r="M38" i="52"/>
  <c r="L38" i="52"/>
  <c r="K38" i="52"/>
  <c r="K20" i="52"/>
  <c r="J38" i="52"/>
  <c r="J20" i="52"/>
  <c r="I38" i="52"/>
  <c r="H38" i="52"/>
  <c r="G38" i="52"/>
  <c r="F38" i="52"/>
  <c r="E38" i="52"/>
  <c r="D38" i="52"/>
  <c r="C38" i="52"/>
  <c r="C20" i="52"/>
  <c r="AG37" i="52"/>
  <c r="AF37" i="52"/>
  <c r="AE37" i="52"/>
  <c r="AD37" i="52"/>
  <c r="AC37" i="52"/>
  <c r="AB37" i="52"/>
  <c r="AA37" i="52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G37" i="52"/>
  <c r="F37" i="52"/>
  <c r="E37" i="52"/>
  <c r="D37" i="52"/>
  <c r="C37" i="52"/>
  <c r="AG36" i="52"/>
  <c r="AF36" i="52"/>
  <c r="AE36" i="52"/>
  <c r="AD36" i="52"/>
  <c r="AC36" i="52"/>
  <c r="AB36" i="52"/>
  <c r="AA36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F36" i="52"/>
  <c r="E36" i="52"/>
  <c r="D36" i="52"/>
  <c r="C36" i="52"/>
  <c r="AG35" i="52"/>
  <c r="AF35" i="52"/>
  <c r="AF19" i="52"/>
  <c r="AE35" i="52"/>
  <c r="AE19" i="52"/>
  <c r="AD35" i="52"/>
  <c r="AC35" i="52"/>
  <c r="AB35" i="52"/>
  <c r="AA35" i="52"/>
  <c r="Z35" i="52"/>
  <c r="Y35" i="52"/>
  <c r="X35" i="52"/>
  <c r="X19" i="52"/>
  <c r="W35" i="52"/>
  <c r="W19" i="52"/>
  <c r="V35" i="52"/>
  <c r="U35" i="52"/>
  <c r="T35" i="52"/>
  <c r="S35" i="52"/>
  <c r="R35" i="52"/>
  <c r="Q35" i="52"/>
  <c r="P35" i="52"/>
  <c r="P19" i="52"/>
  <c r="O35" i="52"/>
  <c r="O19" i="52"/>
  <c r="N35" i="52"/>
  <c r="M35" i="52"/>
  <c r="L35" i="52"/>
  <c r="K35" i="52"/>
  <c r="J35" i="52"/>
  <c r="I35" i="52"/>
  <c r="H35" i="52"/>
  <c r="G35" i="52"/>
  <c r="F35" i="52"/>
  <c r="E35" i="52"/>
  <c r="D35" i="52"/>
  <c r="C35" i="52"/>
  <c r="AG34" i="52"/>
  <c r="AF34" i="52"/>
  <c r="AE34" i="52"/>
  <c r="AD34" i="52"/>
  <c r="AC34" i="52"/>
  <c r="AB34" i="52"/>
  <c r="AA34" i="52"/>
  <c r="Z34" i="52"/>
  <c r="Y34" i="52"/>
  <c r="X34" i="52"/>
  <c r="W34" i="52"/>
  <c r="W17" i="52"/>
  <c r="V34" i="52"/>
  <c r="V17" i="52"/>
  <c r="U34" i="52"/>
  <c r="U17" i="52"/>
  <c r="T34" i="52"/>
  <c r="S34" i="52"/>
  <c r="R34" i="52"/>
  <c r="Q34" i="52"/>
  <c r="P34" i="52"/>
  <c r="O34" i="52"/>
  <c r="O17" i="52"/>
  <c r="N34" i="52"/>
  <c r="N17" i="52"/>
  <c r="M34" i="52"/>
  <c r="L34" i="52"/>
  <c r="K34" i="52"/>
  <c r="J34" i="52"/>
  <c r="I34" i="52"/>
  <c r="H34" i="52"/>
  <c r="G34" i="52"/>
  <c r="G17" i="52"/>
  <c r="F34" i="52"/>
  <c r="F17" i="52"/>
  <c r="E34" i="52"/>
  <c r="D34" i="52"/>
  <c r="C34" i="52"/>
  <c r="AG33" i="52"/>
  <c r="AF33" i="52"/>
  <c r="AE33" i="52"/>
  <c r="AD33" i="52"/>
  <c r="AC33" i="52"/>
  <c r="AB33" i="52"/>
  <c r="AA33" i="52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AG32" i="52"/>
  <c r="AF32" i="52"/>
  <c r="AE32" i="52"/>
  <c r="AD32" i="52"/>
  <c r="AC32" i="52"/>
  <c r="AB32" i="52"/>
  <c r="AA32" i="52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G32" i="52"/>
  <c r="F32" i="52"/>
  <c r="E32" i="52"/>
  <c r="D32" i="52"/>
  <c r="C32" i="52"/>
  <c r="AG31" i="52"/>
  <c r="AF31" i="52"/>
  <c r="AE31" i="52"/>
  <c r="AD31" i="52"/>
  <c r="AC31" i="52"/>
  <c r="AC18" i="52"/>
  <c r="AB31" i="52"/>
  <c r="AB18" i="52"/>
  <c r="AA31" i="52"/>
  <c r="AA18" i="52"/>
  <c r="Z31" i="52"/>
  <c r="Y31" i="52"/>
  <c r="X31" i="52"/>
  <c r="W31" i="52"/>
  <c r="W18" i="52"/>
  <c r="W21" i="52"/>
  <c r="V31" i="52"/>
  <c r="U31" i="52"/>
  <c r="U18" i="52"/>
  <c r="T31" i="52"/>
  <c r="T18" i="52"/>
  <c r="S31" i="52"/>
  <c r="S18" i="52"/>
  <c r="R31" i="52"/>
  <c r="Q31" i="52"/>
  <c r="P31" i="52"/>
  <c r="O31" i="52"/>
  <c r="N31" i="52"/>
  <c r="M31" i="52"/>
  <c r="M18" i="52"/>
  <c r="M21" i="52"/>
  <c r="L31" i="52"/>
  <c r="L18" i="52"/>
  <c r="L21" i="52" s="1"/>
  <c r="K31" i="52"/>
  <c r="K18" i="52"/>
  <c r="J31" i="52"/>
  <c r="I31" i="52"/>
  <c r="H31" i="52"/>
  <c r="G31" i="52"/>
  <c r="F31" i="52"/>
  <c r="E31" i="52"/>
  <c r="E18" i="52"/>
  <c r="D31" i="52"/>
  <c r="D18" i="52"/>
  <c r="C31" i="52"/>
  <c r="C18" i="52"/>
  <c r="AG30" i="52"/>
  <c r="AF30" i="52"/>
  <c r="AE30" i="52"/>
  <c r="AD30" i="52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AG29" i="52"/>
  <c r="AG19" i="52"/>
  <c r="AG21" i="52" s="1"/>
  <c r="AF29" i="52"/>
  <c r="AE29" i="52"/>
  <c r="AD29" i="52"/>
  <c r="AC29" i="52"/>
  <c r="AB29" i="52"/>
  <c r="AA29" i="52"/>
  <c r="Z29" i="52"/>
  <c r="Z19" i="52"/>
  <c r="Y29" i="52"/>
  <c r="Y19" i="52"/>
  <c r="X29" i="52"/>
  <c r="W29" i="52"/>
  <c r="V29" i="52"/>
  <c r="U29" i="52"/>
  <c r="T29" i="52"/>
  <c r="S29" i="52"/>
  <c r="R29" i="52"/>
  <c r="R19" i="52"/>
  <c r="Q29" i="52"/>
  <c r="Q19" i="52"/>
  <c r="P29" i="52"/>
  <c r="O29" i="52"/>
  <c r="N29" i="52"/>
  <c r="M29" i="52"/>
  <c r="L29" i="52"/>
  <c r="K29" i="52"/>
  <c r="J29" i="52"/>
  <c r="J19" i="52"/>
  <c r="I29" i="52"/>
  <c r="I19" i="52"/>
  <c r="H29" i="52"/>
  <c r="H19" i="52" s="1"/>
  <c r="G29" i="52"/>
  <c r="G19" i="52" s="1"/>
  <c r="F29" i="52"/>
  <c r="E29" i="52"/>
  <c r="D29" i="52"/>
  <c r="C29" i="52"/>
  <c r="AG28" i="52"/>
  <c r="AF28" i="52"/>
  <c r="AF17" i="52"/>
  <c r="AE28" i="52"/>
  <c r="AE17" i="52" s="1"/>
  <c r="AD28" i="52"/>
  <c r="AD17" i="52" s="1"/>
  <c r="AC28" i="52"/>
  <c r="AC17" i="52" s="1"/>
  <c r="AB28" i="52"/>
  <c r="AB17" i="52" s="1"/>
  <c r="AA28" i="52"/>
  <c r="AA17" i="52" s="1"/>
  <c r="Z28" i="52"/>
  <c r="Y28" i="52"/>
  <c r="X28" i="52"/>
  <c r="X17" i="52"/>
  <c r="W28" i="52"/>
  <c r="V28" i="52"/>
  <c r="U28" i="52"/>
  <c r="T28" i="52"/>
  <c r="S28" i="52"/>
  <c r="R28" i="52"/>
  <c r="Q28" i="52"/>
  <c r="P28" i="52"/>
  <c r="P17" i="52"/>
  <c r="O28" i="52"/>
  <c r="N28" i="52"/>
  <c r="M28" i="52"/>
  <c r="L28" i="52"/>
  <c r="K28" i="52"/>
  <c r="J28" i="52"/>
  <c r="I28" i="52"/>
  <c r="H28" i="52"/>
  <c r="H17" i="52"/>
  <c r="G28" i="52"/>
  <c r="F28" i="52"/>
  <c r="E28" i="52"/>
  <c r="D28" i="52"/>
  <c r="C28" i="52"/>
  <c r="AG27" i="52"/>
  <c r="AF27" i="52"/>
  <c r="AE27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AG26" i="52"/>
  <c r="AG18" i="52"/>
  <c r="AF26" i="52"/>
  <c r="AF18" i="52"/>
  <c r="AF21" i="52" s="1"/>
  <c r="AE26" i="52"/>
  <c r="AE18" i="52"/>
  <c r="AD26" i="52"/>
  <c r="AD18" i="52"/>
  <c r="AC26" i="52"/>
  <c r="AB26" i="52"/>
  <c r="AA26" i="52"/>
  <c r="Z26" i="52"/>
  <c r="Y26" i="52"/>
  <c r="Y18" i="52"/>
  <c r="X26" i="52"/>
  <c r="X18" i="52"/>
  <c r="W26" i="52"/>
  <c r="V26" i="52"/>
  <c r="V18" i="52"/>
  <c r="U26" i="52"/>
  <c r="T26" i="52"/>
  <c r="S26" i="52"/>
  <c r="R26" i="52"/>
  <c r="Q26" i="52"/>
  <c r="Q18" i="52"/>
  <c r="P26" i="52"/>
  <c r="P18" i="52"/>
  <c r="P21" i="52" s="1"/>
  <c r="O26" i="52"/>
  <c r="O18" i="52"/>
  <c r="N26" i="52"/>
  <c r="N18" i="52"/>
  <c r="N21" i="52" s="1"/>
  <c r="M26" i="52"/>
  <c r="L26" i="52"/>
  <c r="K26" i="52"/>
  <c r="J26" i="52"/>
  <c r="I26" i="52"/>
  <c r="I18" i="52"/>
  <c r="H26" i="52"/>
  <c r="H18" i="52"/>
  <c r="H21" i="52" s="1"/>
  <c r="G26" i="52"/>
  <c r="G18" i="52"/>
  <c r="F26" i="52"/>
  <c r="F18" i="52"/>
  <c r="E26" i="52"/>
  <c r="D26" i="52"/>
  <c r="C26" i="52"/>
  <c r="AG20" i="52"/>
  <c r="AF20" i="52"/>
  <c r="AE20" i="52"/>
  <c r="AD20" i="52"/>
  <c r="AC20" i="52"/>
  <c r="AB20" i="52"/>
  <c r="Y20" i="52"/>
  <c r="X20" i="52"/>
  <c r="W20" i="52"/>
  <c r="V20" i="52"/>
  <c r="U20" i="52"/>
  <c r="T20" i="52"/>
  <c r="Q20" i="52"/>
  <c r="P20" i="52"/>
  <c r="O20" i="52"/>
  <c r="N20" i="52"/>
  <c r="M20" i="52"/>
  <c r="L20" i="52"/>
  <c r="I20" i="52"/>
  <c r="H20" i="52"/>
  <c r="G20" i="52"/>
  <c r="F20" i="52"/>
  <c r="E20" i="52"/>
  <c r="D20" i="52"/>
  <c r="AD19" i="52"/>
  <c r="AC19" i="52"/>
  <c r="AB19" i="52"/>
  <c r="AA19" i="52"/>
  <c r="AA21" i="52" s="1"/>
  <c r="V19" i="52"/>
  <c r="U19" i="52"/>
  <c r="T19" i="52"/>
  <c r="S19" i="52"/>
  <c r="N19" i="52"/>
  <c r="M19" i="52"/>
  <c r="L19" i="52"/>
  <c r="K19" i="52"/>
  <c r="F19" i="52"/>
  <c r="E19" i="52"/>
  <c r="D19" i="52"/>
  <c r="C19" i="52"/>
  <c r="Z18" i="52"/>
  <c r="R18" i="52"/>
  <c r="J18" i="52"/>
  <c r="AG17" i="52"/>
  <c r="Z17" i="52"/>
  <c r="Z21" i="52" s="1"/>
  <c r="Y17" i="52"/>
  <c r="T17" i="52"/>
  <c r="S17" i="52"/>
  <c r="S21" i="52" s="1"/>
  <c r="R17" i="52"/>
  <c r="R21" i="52" s="1"/>
  <c r="Q17" i="52"/>
  <c r="M17" i="52"/>
  <c r="L17" i="52"/>
  <c r="K17" i="52"/>
  <c r="J17" i="52"/>
  <c r="I17" i="52"/>
  <c r="E17" i="52"/>
  <c r="E21" i="52" s="1"/>
  <c r="D17" i="52"/>
  <c r="D21" i="52"/>
  <c r="C17" i="52"/>
  <c r="AF38" i="51"/>
  <c r="AE38" i="51"/>
  <c r="AD38" i="51"/>
  <c r="AD20" i="51"/>
  <c r="AC38" i="51"/>
  <c r="AC20" i="51"/>
  <c r="AB38" i="51"/>
  <c r="AB20" i="51"/>
  <c r="AA38" i="51"/>
  <c r="AA20" i="51"/>
  <c r="Z38" i="51"/>
  <c r="Z20" i="51"/>
  <c r="Y38" i="51"/>
  <c r="X38" i="51"/>
  <c r="W38" i="51"/>
  <c r="V38" i="51"/>
  <c r="U38" i="51"/>
  <c r="U20" i="51"/>
  <c r="T38" i="51"/>
  <c r="T20" i="51"/>
  <c r="S38" i="51"/>
  <c r="S20" i="51"/>
  <c r="R38" i="51"/>
  <c r="R20" i="51"/>
  <c r="Q38" i="51"/>
  <c r="P38" i="51"/>
  <c r="O38" i="51"/>
  <c r="N38" i="51"/>
  <c r="M38" i="51"/>
  <c r="L38" i="51"/>
  <c r="K38" i="51"/>
  <c r="K20" i="51"/>
  <c r="J38" i="51"/>
  <c r="J20" i="51"/>
  <c r="I38" i="51"/>
  <c r="H38" i="51"/>
  <c r="G38" i="51"/>
  <c r="F38" i="51"/>
  <c r="E38" i="51"/>
  <c r="D38" i="51"/>
  <c r="C38" i="51"/>
  <c r="C20" i="51"/>
  <c r="AF37" i="51"/>
  <c r="AE37" i="51"/>
  <c r="AD37" i="51"/>
  <c r="AC37" i="51"/>
  <c r="AB37" i="51"/>
  <c r="AA37" i="51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E37" i="51"/>
  <c r="D37" i="51"/>
  <c r="C37" i="51"/>
  <c r="AF36" i="51"/>
  <c r="AE36" i="51"/>
  <c r="AD36" i="51"/>
  <c r="AD19" i="51"/>
  <c r="AC36" i="51"/>
  <c r="AB36" i="51"/>
  <c r="AA36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N19" i="51"/>
  <c r="M36" i="51"/>
  <c r="L36" i="51"/>
  <c r="K36" i="51"/>
  <c r="J36" i="51"/>
  <c r="I36" i="51"/>
  <c r="H36" i="51"/>
  <c r="G36" i="51"/>
  <c r="F36" i="51"/>
  <c r="E36" i="51"/>
  <c r="D36" i="51"/>
  <c r="C36" i="51"/>
  <c r="AF35" i="51"/>
  <c r="AE35" i="51"/>
  <c r="AD35" i="51"/>
  <c r="AC35" i="51"/>
  <c r="AB35" i="51"/>
  <c r="AA35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AF34" i="51"/>
  <c r="AE34" i="51"/>
  <c r="AD34" i="51"/>
  <c r="AC34" i="51"/>
  <c r="AC17" i="51"/>
  <c r="AB34" i="51"/>
  <c r="AB17" i="51"/>
  <c r="AA34" i="51"/>
  <c r="Z34" i="51"/>
  <c r="Y34" i="51"/>
  <c r="X34" i="51"/>
  <c r="W34" i="51"/>
  <c r="V34" i="51"/>
  <c r="U34" i="51"/>
  <c r="T34" i="51"/>
  <c r="S34" i="51"/>
  <c r="S17" i="51"/>
  <c r="S21" i="51" s="1"/>
  <c r="R34" i="51"/>
  <c r="Q34" i="51"/>
  <c r="Q17" i="51" s="1"/>
  <c r="Q21" i="51" s="1"/>
  <c r="P34" i="51"/>
  <c r="O34" i="51"/>
  <c r="O17" i="51" s="1"/>
  <c r="O21" i="51" s="1"/>
  <c r="N34" i="51"/>
  <c r="M34" i="51"/>
  <c r="M17" i="51"/>
  <c r="L34" i="51"/>
  <c r="K34" i="51"/>
  <c r="J34" i="51"/>
  <c r="I34" i="51"/>
  <c r="H34" i="51"/>
  <c r="G34" i="51"/>
  <c r="F34" i="51"/>
  <c r="E34" i="51"/>
  <c r="E17" i="51"/>
  <c r="D34" i="51"/>
  <c r="D17" i="51"/>
  <c r="C34" i="51"/>
  <c r="C17" i="51"/>
  <c r="AF33" i="51"/>
  <c r="AE33" i="51"/>
  <c r="AD33" i="51"/>
  <c r="AC33" i="51"/>
  <c r="AB33" i="51"/>
  <c r="AA33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AF32" i="51"/>
  <c r="AE32" i="51"/>
  <c r="AD32" i="51"/>
  <c r="AC32" i="51"/>
  <c r="AB32" i="51"/>
  <c r="AA32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AF31" i="51"/>
  <c r="AE31" i="51"/>
  <c r="AD31" i="51"/>
  <c r="AC31" i="51"/>
  <c r="AB31" i="51"/>
  <c r="AA31" i="51"/>
  <c r="Z31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AF30" i="51"/>
  <c r="AE30" i="51"/>
  <c r="AD30" i="51"/>
  <c r="AC30" i="51"/>
  <c r="AB30" i="51"/>
  <c r="AA30" i="51"/>
  <c r="Z30" i="51"/>
  <c r="Y30" i="51"/>
  <c r="X30" i="51"/>
  <c r="W30" i="51"/>
  <c r="V30" i="51"/>
  <c r="V19" i="51"/>
  <c r="U30" i="51"/>
  <c r="U19" i="51"/>
  <c r="T30" i="51"/>
  <c r="T19" i="51"/>
  <c r="S30" i="51"/>
  <c r="S19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F19" i="51"/>
  <c r="E30" i="51"/>
  <c r="E19" i="51"/>
  <c r="D30" i="51"/>
  <c r="D19" i="51"/>
  <c r="C30" i="51"/>
  <c r="C19" i="51"/>
  <c r="AF29" i="51"/>
  <c r="AE29" i="51"/>
  <c r="AD29" i="51"/>
  <c r="AC29" i="51"/>
  <c r="AB29" i="51"/>
  <c r="AB19" i="51"/>
  <c r="AA29" i="51"/>
  <c r="AA19" i="51"/>
  <c r="Z29" i="51"/>
  <c r="Y29" i="51"/>
  <c r="Y19" i="51"/>
  <c r="X29" i="51"/>
  <c r="W29" i="51"/>
  <c r="V29" i="51"/>
  <c r="U29" i="51"/>
  <c r="T29" i="51"/>
  <c r="S29" i="51"/>
  <c r="R29" i="51"/>
  <c r="Q29" i="51"/>
  <c r="Q19" i="51"/>
  <c r="P29" i="51"/>
  <c r="O29" i="51"/>
  <c r="N29" i="51"/>
  <c r="M29" i="51"/>
  <c r="L29" i="51"/>
  <c r="L19" i="51"/>
  <c r="K29" i="51"/>
  <c r="K19" i="51"/>
  <c r="J29" i="51"/>
  <c r="I29" i="51"/>
  <c r="I19" i="51"/>
  <c r="H29" i="51"/>
  <c r="G29" i="51"/>
  <c r="F29" i="51"/>
  <c r="E29" i="51"/>
  <c r="D29" i="51"/>
  <c r="C29" i="51"/>
  <c r="AF28" i="51"/>
  <c r="AF17" i="51"/>
  <c r="AE28" i="51"/>
  <c r="AD28" i="51"/>
  <c r="AC28" i="51"/>
  <c r="AB28" i="51"/>
  <c r="AA28" i="51"/>
  <c r="AA17" i="51" s="1"/>
  <c r="Z28" i="51"/>
  <c r="Z17" i="51" s="1"/>
  <c r="Y28" i="51"/>
  <c r="X28" i="51"/>
  <c r="X17" i="51"/>
  <c r="W28" i="51"/>
  <c r="V28" i="51"/>
  <c r="U28" i="51"/>
  <c r="T28" i="51"/>
  <c r="S28" i="51"/>
  <c r="R28" i="51"/>
  <c r="R17" i="51"/>
  <c r="Q28" i="51"/>
  <c r="P28" i="51"/>
  <c r="P17" i="51"/>
  <c r="O28" i="51"/>
  <c r="N28" i="51"/>
  <c r="M28" i="51"/>
  <c r="L28" i="51"/>
  <c r="L17" i="51"/>
  <c r="L21" i="51"/>
  <c r="K28" i="51"/>
  <c r="K17" i="51"/>
  <c r="K21" i="51"/>
  <c r="J28" i="51"/>
  <c r="J17" i="51"/>
  <c r="I28" i="51"/>
  <c r="I17" i="51"/>
  <c r="H28" i="51"/>
  <c r="H17" i="51"/>
  <c r="G28" i="51"/>
  <c r="F28" i="51"/>
  <c r="E28" i="51"/>
  <c r="D28" i="51"/>
  <c r="C28" i="51"/>
  <c r="AF27" i="51"/>
  <c r="AE27" i="51"/>
  <c r="AD27" i="51"/>
  <c r="AC27" i="51"/>
  <c r="AB27" i="51"/>
  <c r="AA27" i="51"/>
  <c r="Z27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18" i="51" s="1"/>
  <c r="I21" i="51" s="1"/>
  <c r="H27" i="51"/>
  <c r="H18" i="51" s="1"/>
  <c r="G27" i="51"/>
  <c r="G18" i="51" s="1"/>
  <c r="G21" i="51" s="1"/>
  <c r="F27" i="51"/>
  <c r="E27" i="51"/>
  <c r="D27" i="51"/>
  <c r="C27" i="51"/>
  <c r="AF26" i="51"/>
  <c r="AE26" i="51"/>
  <c r="AD26" i="51"/>
  <c r="AC26" i="51"/>
  <c r="AB26" i="51"/>
  <c r="AA26" i="51"/>
  <c r="Z26" i="51"/>
  <c r="Z18" i="51"/>
  <c r="Y26" i="51"/>
  <c r="X26" i="51"/>
  <c r="W26" i="51"/>
  <c r="V26" i="51"/>
  <c r="U26" i="51"/>
  <c r="T26" i="51"/>
  <c r="S26" i="51"/>
  <c r="R26" i="51"/>
  <c r="Q26" i="51"/>
  <c r="P26" i="51"/>
  <c r="O26" i="51"/>
  <c r="N26" i="51"/>
  <c r="M26" i="51"/>
  <c r="L26" i="51"/>
  <c r="K26" i="51"/>
  <c r="J26" i="51"/>
  <c r="J18" i="51"/>
  <c r="I26" i="51"/>
  <c r="H26" i="51"/>
  <c r="G26" i="51"/>
  <c r="F26" i="51"/>
  <c r="E26" i="51"/>
  <c r="D26" i="51"/>
  <c r="C26" i="51"/>
  <c r="AF20" i="51"/>
  <c r="AE20" i="51"/>
  <c r="Y20" i="51"/>
  <c r="X20" i="51"/>
  <c r="W20" i="51"/>
  <c r="V20" i="51"/>
  <c r="Q20" i="51"/>
  <c r="P20" i="51"/>
  <c r="O20" i="51"/>
  <c r="N20" i="51"/>
  <c r="M20" i="51"/>
  <c r="L20" i="51"/>
  <c r="I20" i="51"/>
  <c r="H20" i="51"/>
  <c r="G20" i="51"/>
  <c r="F20" i="51"/>
  <c r="E20" i="51"/>
  <c r="D20" i="51"/>
  <c r="AC19" i="51"/>
  <c r="M19" i="51"/>
  <c r="R18" i="51"/>
  <c r="Y17" i="51"/>
  <c r="U17" i="51"/>
  <c r="T17" i="51"/>
  <c r="AG38" i="50"/>
  <c r="AA20" i="50"/>
  <c r="Z20" i="50"/>
  <c r="V20" i="50"/>
  <c r="U20" i="50"/>
  <c r="S20" i="50"/>
  <c r="R20" i="50"/>
  <c r="K20" i="50"/>
  <c r="J20" i="50"/>
  <c r="I20" i="50"/>
  <c r="H20" i="50"/>
  <c r="C38" i="50"/>
  <c r="C20" i="50"/>
  <c r="AG37" i="50"/>
  <c r="C37" i="50"/>
  <c r="AG36" i="50"/>
  <c r="C36" i="50"/>
  <c r="AG35" i="50"/>
  <c r="C35" i="50"/>
  <c r="AG34" i="50"/>
  <c r="C34" i="50"/>
  <c r="AG33" i="50"/>
  <c r="C33" i="50"/>
  <c r="AG32" i="50"/>
  <c r="C32" i="50"/>
  <c r="AG31" i="50"/>
  <c r="C31" i="50"/>
  <c r="AG30" i="50"/>
  <c r="C30" i="50"/>
  <c r="AG29" i="50"/>
  <c r="AG19" i="50"/>
  <c r="AF19" i="50"/>
  <c r="AC19" i="50"/>
  <c r="Z19" i="50"/>
  <c r="X19" i="50"/>
  <c r="U19" i="50"/>
  <c r="R19" i="50"/>
  <c r="P19" i="50"/>
  <c r="M19" i="50"/>
  <c r="J19" i="50"/>
  <c r="H19" i="50"/>
  <c r="E19" i="50"/>
  <c r="C29" i="50"/>
  <c r="AG28" i="50"/>
  <c r="AF17" i="50"/>
  <c r="AE17" i="50"/>
  <c r="AD17" i="50"/>
  <c r="AC17" i="50"/>
  <c r="X17" i="50"/>
  <c r="W17" i="50"/>
  <c r="U17" i="50"/>
  <c r="T17" i="50"/>
  <c r="R17" i="50"/>
  <c r="P17" i="50"/>
  <c r="O17" i="50"/>
  <c r="N17" i="50"/>
  <c r="M17" i="50"/>
  <c r="J17" i="50"/>
  <c r="H17" i="50"/>
  <c r="G17" i="50"/>
  <c r="F17" i="50"/>
  <c r="E17" i="50"/>
  <c r="D17" i="50"/>
  <c r="C28" i="50"/>
  <c r="C17" i="50"/>
  <c r="AG27" i="50"/>
  <c r="C27" i="50"/>
  <c r="AG26" i="50"/>
  <c r="AG18" i="50"/>
  <c r="AF18" i="50"/>
  <c r="AE18" i="50"/>
  <c r="W18" i="50"/>
  <c r="S18" i="50"/>
  <c r="Q18" i="50"/>
  <c r="O18" i="50"/>
  <c r="G18" i="50"/>
  <c r="F18" i="50"/>
  <c r="C26" i="50"/>
  <c r="AG20" i="50"/>
  <c r="AF20" i="50"/>
  <c r="AD20" i="50"/>
  <c r="AC20" i="50"/>
  <c r="AB20" i="50"/>
  <c r="Y20" i="50"/>
  <c r="X20" i="50"/>
  <c r="T20" i="50"/>
  <c r="Q20" i="50"/>
  <c r="P20" i="50"/>
  <c r="O20" i="50"/>
  <c r="N20" i="50"/>
  <c r="M20" i="50"/>
  <c r="L20" i="50"/>
  <c r="F20" i="50"/>
  <c r="E20" i="50"/>
  <c r="D20" i="50"/>
  <c r="AD19" i="50"/>
  <c r="AA19" i="50"/>
  <c r="S19" i="50"/>
  <c r="K19" i="50"/>
  <c r="C19" i="50"/>
  <c r="AG17" i="50"/>
  <c r="AB17" i="50"/>
  <c r="Z17" i="50"/>
  <c r="Y17" i="50"/>
  <c r="L17" i="50"/>
  <c r="AG20" i="49"/>
  <c r="AG26" i="49"/>
  <c r="AG27" i="49"/>
  <c r="AG28" i="49"/>
  <c r="AG17" i="49"/>
  <c r="AG29" i="49"/>
  <c r="AG30" i="49"/>
  <c r="AG31" i="49"/>
  <c r="AG32" i="49"/>
  <c r="AG33" i="49"/>
  <c r="AG34" i="49"/>
  <c r="AG35" i="49"/>
  <c r="AG19" i="49"/>
  <c r="AG36" i="49"/>
  <c r="AG37" i="49"/>
  <c r="AG38" i="49"/>
  <c r="AG20" i="47"/>
  <c r="AG17" i="47"/>
  <c r="AG19" i="47"/>
  <c r="AF38" i="49"/>
  <c r="AE38" i="49"/>
  <c r="AD38" i="49"/>
  <c r="AC38" i="49"/>
  <c r="AB38" i="49"/>
  <c r="AB20" i="49"/>
  <c r="AA38" i="49"/>
  <c r="AA20" i="49"/>
  <c r="Z38" i="49"/>
  <c r="Z20" i="49" s="1"/>
  <c r="Y38" i="49"/>
  <c r="Y20" i="49" s="1"/>
  <c r="X38" i="49"/>
  <c r="X20" i="49" s="1"/>
  <c r="W38" i="49"/>
  <c r="W20" i="49"/>
  <c r="V38" i="49"/>
  <c r="V20" i="49"/>
  <c r="U38" i="49"/>
  <c r="U20" i="49" s="1"/>
  <c r="T38" i="49"/>
  <c r="T20" i="49" s="1"/>
  <c r="S38" i="49"/>
  <c r="S20" i="49" s="1"/>
  <c r="R38" i="49"/>
  <c r="R20" i="49"/>
  <c r="Q38" i="49"/>
  <c r="Q20" i="49"/>
  <c r="P38" i="49"/>
  <c r="P20" i="49" s="1"/>
  <c r="O38" i="49"/>
  <c r="N38" i="49"/>
  <c r="N20" i="49"/>
  <c r="M38" i="49"/>
  <c r="M20" i="49" s="1"/>
  <c r="L38" i="49"/>
  <c r="L20" i="49"/>
  <c r="K38" i="49"/>
  <c r="K20" i="49"/>
  <c r="J38" i="49"/>
  <c r="J20" i="49"/>
  <c r="I38" i="49"/>
  <c r="I20" i="49"/>
  <c r="H38" i="49"/>
  <c r="H20" i="49"/>
  <c r="G38" i="49"/>
  <c r="G20" i="49"/>
  <c r="F38" i="49"/>
  <c r="E38" i="49"/>
  <c r="D38" i="49"/>
  <c r="D20" i="49"/>
  <c r="C38" i="49"/>
  <c r="C20" i="49"/>
  <c r="AF37" i="49"/>
  <c r="AE37" i="49"/>
  <c r="AD37" i="49"/>
  <c r="AC37" i="49"/>
  <c r="AB37" i="49"/>
  <c r="AA37" i="49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G37" i="49"/>
  <c r="F37" i="49"/>
  <c r="E37" i="49"/>
  <c r="D37" i="49"/>
  <c r="C37" i="49"/>
  <c r="AF36" i="49"/>
  <c r="AE36" i="49"/>
  <c r="AD36" i="49"/>
  <c r="AD19" i="49"/>
  <c r="AC36" i="49"/>
  <c r="AC19" i="49"/>
  <c r="AB36" i="49"/>
  <c r="AA36" i="49"/>
  <c r="Z36" i="49"/>
  <c r="Y36" i="49"/>
  <c r="X36" i="49"/>
  <c r="W36" i="49"/>
  <c r="V36" i="49"/>
  <c r="U36" i="49"/>
  <c r="U19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F19" i="49"/>
  <c r="E36" i="49"/>
  <c r="E19" i="49"/>
  <c r="D36" i="49"/>
  <c r="C36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M19" i="49" s="1"/>
  <c r="L35" i="49"/>
  <c r="K35" i="49"/>
  <c r="J35" i="49"/>
  <c r="I35" i="49"/>
  <c r="H35" i="49"/>
  <c r="G35" i="49"/>
  <c r="F35" i="49"/>
  <c r="E35" i="49"/>
  <c r="D35" i="49"/>
  <c r="C35" i="49"/>
  <c r="AF34" i="49"/>
  <c r="AE34" i="49"/>
  <c r="AD34" i="49"/>
  <c r="AC34" i="49"/>
  <c r="AB34" i="49"/>
  <c r="AB17" i="49" s="1"/>
  <c r="AA34" i="49"/>
  <c r="AA17" i="49"/>
  <c r="Z34" i="49"/>
  <c r="Z17" i="49"/>
  <c r="Y34" i="49"/>
  <c r="Y17" i="49"/>
  <c r="X34" i="49"/>
  <c r="W34" i="49"/>
  <c r="V34" i="49"/>
  <c r="U34" i="49"/>
  <c r="T34" i="49"/>
  <c r="S34" i="49"/>
  <c r="R34" i="49"/>
  <c r="Q34" i="49"/>
  <c r="Q17" i="49" s="1"/>
  <c r="P34" i="49"/>
  <c r="P17" i="49" s="1"/>
  <c r="O34" i="49"/>
  <c r="O17" i="49" s="1"/>
  <c r="N34" i="49"/>
  <c r="N17" i="49"/>
  <c r="M34" i="49"/>
  <c r="M17" i="49"/>
  <c r="L34" i="49"/>
  <c r="K34" i="49"/>
  <c r="J34" i="49"/>
  <c r="I34" i="49"/>
  <c r="H34" i="49"/>
  <c r="G34" i="49"/>
  <c r="F34" i="49"/>
  <c r="E34" i="49"/>
  <c r="D34" i="49"/>
  <c r="D17" i="49"/>
  <c r="D21" i="49" s="1"/>
  <c r="C34" i="49"/>
  <c r="AF33" i="49"/>
  <c r="AE33" i="49"/>
  <c r="AD33" i="49"/>
  <c r="AC33" i="49"/>
  <c r="AB33" i="49"/>
  <c r="AA33" i="49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AF32" i="49"/>
  <c r="AE32" i="49"/>
  <c r="AD32" i="49"/>
  <c r="AD18" i="49" s="1"/>
  <c r="AC32" i="49"/>
  <c r="AB32" i="49"/>
  <c r="AA32" i="49"/>
  <c r="Z32" i="49"/>
  <c r="Y32" i="49"/>
  <c r="X32" i="49"/>
  <c r="W32" i="49"/>
  <c r="W18" i="49" s="1"/>
  <c r="V32" i="49"/>
  <c r="U32" i="49"/>
  <c r="T32" i="49"/>
  <c r="S32" i="49"/>
  <c r="R32" i="49"/>
  <c r="Q32" i="49"/>
  <c r="P32" i="49"/>
  <c r="O32" i="49"/>
  <c r="N32" i="49"/>
  <c r="M32" i="49"/>
  <c r="L32" i="49"/>
  <c r="L18" i="49" s="1"/>
  <c r="L21" i="49" s="1"/>
  <c r="K32" i="49"/>
  <c r="J32" i="49"/>
  <c r="I32" i="49"/>
  <c r="H32" i="49"/>
  <c r="G32" i="49"/>
  <c r="F32" i="49"/>
  <c r="E32" i="49"/>
  <c r="D32" i="49"/>
  <c r="C32" i="49"/>
  <c r="AF31" i="49"/>
  <c r="AE31" i="49"/>
  <c r="AD31" i="49"/>
  <c r="AC31" i="49"/>
  <c r="AC18" i="49"/>
  <c r="AB31" i="49"/>
  <c r="AB18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H18" i="49"/>
  <c r="G31" i="49"/>
  <c r="F31" i="49"/>
  <c r="E31" i="49"/>
  <c r="D31" i="49"/>
  <c r="C31" i="49"/>
  <c r="AF30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S19" i="49"/>
  <c r="R30" i="49"/>
  <c r="Q30" i="49"/>
  <c r="P30" i="49"/>
  <c r="O30" i="49"/>
  <c r="N30" i="49"/>
  <c r="M30" i="49"/>
  <c r="L30" i="49"/>
  <c r="L19" i="49"/>
  <c r="K30" i="49"/>
  <c r="K19" i="49"/>
  <c r="J30" i="49"/>
  <c r="I30" i="49"/>
  <c r="H30" i="49"/>
  <c r="G30" i="49"/>
  <c r="F30" i="49"/>
  <c r="E30" i="49"/>
  <c r="D30" i="49"/>
  <c r="C30" i="49"/>
  <c r="AF29" i="49"/>
  <c r="AF19" i="49"/>
  <c r="AE29" i="49"/>
  <c r="AE19" i="49"/>
  <c r="AD29" i="49"/>
  <c r="AC29" i="49"/>
  <c r="AB29" i="49"/>
  <c r="AB19" i="49"/>
  <c r="AA29" i="49"/>
  <c r="AA19" i="49"/>
  <c r="Z29" i="49"/>
  <c r="Z19" i="49"/>
  <c r="Y29" i="49"/>
  <c r="Y19" i="49"/>
  <c r="X29" i="49"/>
  <c r="X19" i="49"/>
  <c r="W29" i="49"/>
  <c r="W19" i="49"/>
  <c r="V29" i="49"/>
  <c r="U29" i="49"/>
  <c r="T29" i="49"/>
  <c r="S29" i="49"/>
  <c r="R29" i="49"/>
  <c r="Q29" i="49"/>
  <c r="P29" i="49"/>
  <c r="O29" i="49"/>
  <c r="O19" i="49"/>
  <c r="N29" i="49"/>
  <c r="M29" i="49"/>
  <c r="L29" i="49"/>
  <c r="K29" i="49"/>
  <c r="J29" i="49"/>
  <c r="I29" i="49"/>
  <c r="H29" i="49"/>
  <c r="G29" i="49"/>
  <c r="G19" i="49"/>
  <c r="F29" i="49"/>
  <c r="E29" i="49"/>
  <c r="D29" i="49"/>
  <c r="C29" i="49"/>
  <c r="AF28" i="49"/>
  <c r="AE28" i="49"/>
  <c r="AE17" i="49"/>
  <c r="AD28" i="49"/>
  <c r="AC28" i="49"/>
  <c r="AC17" i="49"/>
  <c r="AB28" i="49"/>
  <c r="AA28" i="49"/>
  <c r="Z28" i="49"/>
  <c r="Y28" i="49"/>
  <c r="X28" i="49"/>
  <c r="X17" i="49"/>
  <c r="W28" i="49"/>
  <c r="V28" i="49"/>
  <c r="V17" i="49"/>
  <c r="U28" i="49"/>
  <c r="U17" i="49" s="1"/>
  <c r="T28" i="49"/>
  <c r="S28" i="49"/>
  <c r="R28" i="49"/>
  <c r="R17" i="49"/>
  <c r="Q28" i="49"/>
  <c r="P28" i="49"/>
  <c r="O28" i="49"/>
  <c r="N28" i="49"/>
  <c r="M28" i="49"/>
  <c r="L28" i="49"/>
  <c r="K28" i="49"/>
  <c r="K17" i="49" s="1"/>
  <c r="J28" i="49"/>
  <c r="I28" i="49"/>
  <c r="H28" i="49"/>
  <c r="H17" i="49"/>
  <c r="H21" i="49" s="1"/>
  <c r="G28" i="49"/>
  <c r="F28" i="49"/>
  <c r="F17" i="49"/>
  <c r="E28" i="49"/>
  <c r="E17" i="49"/>
  <c r="D28" i="49"/>
  <c r="C28" i="49"/>
  <c r="C17" i="49" s="1"/>
  <c r="AF27" i="49"/>
  <c r="AE27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O18" i="49"/>
  <c r="N27" i="49"/>
  <c r="M27" i="49"/>
  <c r="L27" i="49"/>
  <c r="K27" i="49"/>
  <c r="J27" i="49"/>
  <c r="I27" i="49"/>
  <c r="H27" i="49"/>
  <c r="G27" i="49"/>
  <c r="F27" i="49"/>
  <c r="F18" i="49"/>
  <c r="E27" i="49"/>
  <c r="D27" i="49"/>
  <c r="D18" i="49"/>
  <c r="C27" i="49"/>
  <c r="C18" i="49"/>
  <c r="AF26" i="49"/>
  <c r="AE26" i="49"/>
  <c r="AE18" i="49" s="1"/>
  <c r="AD26" i="49"/>
  <c r="AC26" i="49"/>
  <c r="AB26" i="49"/>
  <c r="AA26" i="49"/>
  <c r="Z26" i="49"/>
  <c r="Z18" i="49"/>
  <c r="Y26" i="49"/>
  <c r="Y18" i="49"/>
  <c r="X26" i="49"/>
  <c r="W26" i="49"/>
  <c r="V26" i="49"/>
  <c r="V18" i="49" s="1"/>
  <c r="V21" i="49" s="1"/>
  <c r="U26" i="49"/>
  <c r="T26" i="49"/>
  <c r="S26" i="49"/>
  <c r="S18" i="49" s="1"/>
  <c r="R26" i="49"/>
  <c r="Q26" i="49"/>
  <c r="P26" i="49"/>
  <c r="O26" i="49"/>
  <c r="N26" i="49"/>
  <c r="N18" i="49" s="1"/>
  <c r="M26" i="49"/>
  <c r="L26" i="49"/>
  <c r="K26" i="49"/>
  <c r="K18" i="49" s="1"/>
  <c r="J26" i="49"/>
  <c r="J18" i="49" s="1"/>
  <c r="I26" i="49"/>
  <c r="H26" i="49"/>
  <c r="G26" i="49"/>
  <c r="F26" i="49"/>
  <c r="E26" i="49"/>
  <c r="E18" i="49" s="1"/>
  <c r="D26" i="49"/>
  <c r="C26" i="49"/>
  <c r="AF20" i="49"/>
  <c r="AE20" i="49"/>
  <c r="AD20" i="49"/>
  <c r="AC20" i="49"/>
  <c r="O20" i="49"/>
  <c r="F20" i="49"/>
  <c r="F21" i="49" s="1"/>
  <c r="E20" i="49"/>
  <c r="T19" i="49"/>
  <c r="D19" i="49"/>
  <c r="C19" i="49"/>
  <c r="R18" i="49"/>
  <c r="AF17" i="49"/>
  <c r="W17" i="49"/>
  <c r="G17" i="49"/>
  <c r="AF20" i="48"/>
  <c r="AE20" i="48"/>
  <c r="AD20" i="48"/>
  <c r="AC20" i="48"/>
  <c r="AB38" i="48"/>
  <c r="AB20" i="48"/>
  <c r="AA38" i="48"/>
  <c r="AA20" i="48"/>
  <c r="Z38" i="48"/>
  <c r="Z20" i="48"/>
  <c r="Y38" i="48"/>
  <c r="Y20" i="48" s="1"/>
  <c r="X38" i="48"/>
  <c r="X20" i="48" s="1"/>
  <c r="W38" i="48"/>
  <c r="W20" i="48" s="1"/>
  <c r="V38" i="48"/>
  <c r="U38" i="48"/>
  <c r="U20" i="48"/>
  <c r="T38" i="48"/>
  <c r="T20" i="48"/>
  <c r="S38" i="48"/>
  <c r="S20" i="48"/>
  <c r="R38" i="48"/>
  <c r="R20" i="48"/>
  <c r="Q38" i="48"/>
  <c r="Q20" i="48"/>
  <c r="P38" i="48"/>
  <c r="P20" i="48"/>
  <c r="O38" i="48"/>
  <c r="O20" i="48" s="1"/>
  <c r="N38" i="48"/>
  <c r="N20" i="48" s="1"/>
  <c r="M38" i="48"/>
  <c r="M20" i="48" s="1"/>
  <c r="L38" i="48"/>
  <c r="L20" i="48" s="1"/>
  <c r="K38" i="48"/>
  <c r="K20" i="48" s="1"/>
  <c r="K21" i="48" s="1"/>
  <c r="J38" i="48"/>
  <c r="J20" i="48"/>
  <c r="I38" i="48"/>
  <c r="I20" i="48"/>
  <c r="H38" i="48"/>
  <c r="G38" i="48"/>
  <c r="F38" i="48"/>
  <c r="E38" i="48"/>
  <c r="D38" i="48"/>
  <c r="D20" i="48"/>
  <c r="C38" i="48"/>
  <c r="C20" i="48"/>
  <c r="AB37" i="48"/>
  <c r="AA37" i="48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AB36" i="48"/>
  <c r="AA36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AB35" i="48"/>
  <c r="AA35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AB34" i="48"/>
  <c r="AA34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D34" i="48"/>
  <c r="C34" i="48"/>
  <c r="AB33" i="48"/>
  <c r="AA33" i="48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E33" i="48"/>
  <c r="D33" i="48"/>
  <c r="C33" i="48"/>
  <c r="AB32" i="48"/>
  <c r="AA32" i="48"/>
  <c r="Z32" i="48"/>
  <c r="Y32" i="48"/>
  <c r="X32" i="48"/>
  <c r="W32" i="48"/>
  <c r="V32" i="48"/>
  <c r="U32" i="48"/>
  <c r="T32" i="48"/>
  <c r="S32" i="48"/>
  <c r="R32" i="48"/>
  <c r="R18" i="48" s="1"/>
  <c r="R21" i="48" s="1"/>
  <c r="Q32" i="48"/>
  <c r="P32" i="48"/>
  <c r="O32" i="48"/>
  <c r="N32" i="48"/>
  <c r="M32" i="48"/>
  <c r="L32" i="48"/>
  <c r="K32" i="48"/>
  <c r="J32" i="48"/>
  <c r="I32" i="48"/>
  <c r="H32" i="48"/>
  <c r="G32" i="48"/>
  <c r="F32" i="48"/>
  <c r="E32" i="48"/>
  <c r="D32" i="48"/>
  <c r="C32" i="48"/>
  <c r="AB31" i="48"/>
  <c r="AA31" i="48"/>
  <c r="Z31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E31" i="48"/>
  <c r="D31" i="48"/>
  <c r="C31" i="48"/>
  <c r="AB30" i="48"/>
  <c r="AA30" i="48"/>
  <c r="Z30" i="48"/>
  <c r="Y30" i="48"/>
  <c r="X30" i="48"/>
  <c r="W30" i="48"/>
  <c r="V30" i="48"/>
  <c r="U30" i="48"/>
  <c r="T30" i="48"/>
  <c r="S30" i="48"/>
  <c r="R30" i="48"/>
  <c r="Q30" i="48"/>
  <c r="P30" i="48"/>
  <c r="O30" i="48"/>
  <c r="O19" i="48" s="1"/>
  <c r="N30" i="48"/>
  <c r="M30" i="48"/>
  <c r="L30" i="48"/>
  <c r="K30" i="48"/>
  <c r="J30" i="48"/>
  <c r="I30" i="48"/>
  <c r="H30" i="48"/>
  <c r="G30" i="48"/>
  <c r="F30" i="48"/>
  <c r="E30" i="48"/>
  <c r="D30" i="48"/>
  <c r="C30" i="48"/>
  <c r="AB29" i="48"/>
  <c r="AB19" i="48" s="1"/>
  <c r="AA29" i="48"/>
  <c r="AA19" i="48" s="1"/>
  <c r="Z29" i="48"/>
  <c r="Z19" i="48" s="1"/>
  <c r="Z21" i="48" s="1"/>
  <c r="Y29" i="48"/>
  <c r="X29" i="48"/>
  <c r="W29" i="48"/>
  <c r="V29" i="48"/>
  <c r="U29" i="48"/>
  <c r="T29" i="48"/>
  <c r="T19" i="48"/>
  <c r="S29" i="48"/>
  <c r="S19" i="48"/>
  <c r="R29" i="48"/>
  <c r="R19" i="48"/>
  <c r="Q29" i="48"/>
  <c r="P29" i="48"/>
  <c r="O29" i="48"/>
  <c r="N29" i="48"/>
  <c r="M29" i="48"/>
  <c r="L29" i="48"/>
  <c r="K29" i="48"/>
  <c r="K19" i="48"/>
  <c r="J29" i="48"/>
  <c r="J19" i="48"/>
  <c r="I29" i="48"/>
  <c r="I19" i="48"/>
  <c r="H29" i="48"/>
  <c r="H19" i="48"/>
  <c r="G29" i="48"/>
  <c r="G19" i="48"/>
  <c r="F29" i="48"/>
  <c r="F19" i="48" s="1"/>
  <c r="E29" i="48"/>
  <c r="E19" i="48" s="1"/>
  <c r="D29" i="48"/>
  <c r="D19" i="48" s="1"/>
  <c r="D21" i="48" s="1"/>
  <c r="C29" i="48"/>
  <c r="AF17" i="48"/>
  <c r="AE17" i="48"/>
  <c r="AB28" i="48"/>
  <c r="AA28" i="48"/>
  <c r="Z28" i="48"/>
  <c r="Y28" i="48"/>
  <c r="X28" i="48"/>
  <c r="X17" i="48"/>
  <c r="W28" i="48"/>
  <c r="W17" i="48"/>
  <c r="V28" i="48"/>
  <c r="V17" i="48"/>
  <c r="U28" i="48"/>
  <c r="U17" i="48"/>
  <c r="T28" i="48"/>
  <c r="T17" i="48"/>
  <c r="S28" i="48"/>
  <c r="R28" i="48"/>
  <c r="Q28" i="48"/>
  <c r="P28" i="48"/>
  <c r="P17" i="48"/>
  <c r="O28" i="48"/>
  <c r="N28" i="48"/>
  <c r="M28" i="48"/>
  <c r="L28" i="48"/>
  <c r="K28" i="48"/>
  <c r="J28" i="48"/>
  <c r="J17" i="48" s="1"/>
  <c r="I28" i="48"/>
  <c r="H28" i="48"/>
  <c r="G28" i="48"/>
  <c r="F28" i="48"/>
  <c r="F17" i="48"/>
  <c r="E28" i="48"/>
  <c r="E17" i="48"/>
  <c r="D28" i="48"/>
  <c r="D17" i="48"/>
  <c r="C28" i="48"/>
  <c r="C17" i="48" s="1"/>
  <c r="AB27" i="48"/>
  <c r="AA27" i="48"/>
  <c r="Z27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G27" i="48"/>
  <c r="F27" i="48"/>
  <c r="E27" i="48"/>
  <c r="D27" i="48"/>
  <c r="C27" i="48"/>
  <c r="AE18" i="48"/>
  <c r="AB26" i="48"/>
  <c r="AA26" i="48"/>
  <c r="Z26" i="48"/>
  <c r="Z18" i="48" s="1"/>
  <c r="Y26" i="48"/>
  <c r="Y18" i="48" s="1"/>
  <c r="X26" i="48"/>
  <c r="X18" i="48" s="1"/>
  <c r="W26" i="48"/>
  <c r="W18" i="48" s="1"/>
  <c r="V26" i="48"/>
  <c r="V18" i="48" s="1"/>
  <c r="U26" i="48"/>
  <c r="T26" i="48"/>
  <c r="T18" i="48"/>
  <c r="S26" i="48"/>
  <c r="R26" i="48"/>
  <c r="Q26" i="48"/>
  <c r="Q18" i="48"/>
  <c r="P26" i="48"/>
  <c r="P18" i="48" s="1"/>
  <c r="O26" i="48"/>
  <c r="O18" i="48" s="1"/>
  <c r="N26" i="48"/>
  <c r="N18" i="48" s="1"/>
  <c r="M26" i="48"/>
  <c r="L26" i="48"/>
  <c r="K26" i="48"/>
  <c r="J26" i="48"/>
  <c r="J18" i="48" s="1"/>
  <c r="I26" i="48"/>
  <c r="H26" i="48"/>
  <c r="H18" i="48" s="1"/>
  <c r="G26" i="48"/>
  <c r="G18" i="48" s="1"/>
  <c r="F26" i="48"/>
  <c r="F18" i="48" s="1"/>
  <c r="E26" i="48"/>
  <c r="E18" i="48" s="1"/>
  <c r="D26" i="48"/>
  <c r="D18" i="48" s="1"/>
  <c r="C26" i="48"/>
  <c r="C18" i="48" s="1"/>
  <c r="V20" i="48"/>
  <c r="H20" i="48"/>
  <c r="G20" i="48"/>
  <c r="F20" i="48"/>
  <c r="E20" i="48"/>
  <c r="C19" i="48"/>
  <c r="I18" i="48"/>
  <c r="O17" i="48"/>
  <c r="H17" i="48"/>
  <c r="G17" i="48"/>
  <c r="AB20" i="47"/>
  <c r="AA20" i="47"/>
  <c r="Z20" i="47"/>
  <c r="Y20" i="47"/>
  <c r="T20" i="47"/>
  <c r="S20" i="47"/>
  <c r="R20" i="47"/>
  <c r="Q20" i="47"/>
  <c r="M38" i="47"/>
  <c r="M20" i="47"/>
  <c r="L38" i="47"/>
  <c r="L20" i="47"/>
  <c r="K38" i="47"/>
  <c r="K20" i="47"/>
  <c r="J38" i="47"/>
  <c r="J20" i="47"/>
  <c r="I38" i="47"/>
  <c r="I20" i="47"/>
  <c r="H38" i="47"/>
  <c r="G38" i="47"/>
  <c r="F38" i="47"/>
  <c r="E38" i="47"/>
  <c r="D38" i="47"/>
  <c r="D20" i="47"/>
  <c r="C38" i="47"/>
  <c r="C20" i="47"/>
  <c r="M37" i="47"/>
  <c r="L37" i="47"/>
  <c r="K37" i="47"/>
  <c r="J37" i="47"/>
  <c r="I37" i="47"/>
  <c r="H37" i="47"/>
  <c r="G37" i="47"/>
  <c r="F37" i="47"/>
  <c r="E37" i="47"/>
  <c r="D37" i="47"/>
  <c r="C37" i="47"/>
  <c r="M36" i="47"/>
  <c r="L36" i="47"/>
  <c r="K36" i="47"/>
  <c r="J36" i="47"/>
  <c r="I36" i="47"/>
  <c r="H36" i="47"/>
  <c r="G36" i="47"/>
  <c r="F36" i="47"/>
  <c r="E36" i="47"/>
  <c r="D36" i="47"/>
  <c r="C36" i="47"/>
  <c r="M35" i="47"/>
  <c r="L35" i="47"/>
  <c r="K35" i="47"/>
  <c r="J35" i="47"/>
  <c r="I35" i="47"/>
  <c r="H35" i="47"/>
  <c r="G35" i="47"/>
  <c r="F35" i="47"/>
  <c r="E35" i="47"/>
  <c r="D35" i="47"/>
  <c r="C35" i="47"/>
  <c r="M34" i="47"/>
  <c r="L34" i="47"/>
  <c r="K34" i="47"/>
  <c r="J34" i="47"/>
  <c r="I34" i="47"/>
  <c r="H34" i="47"/>
  <c r="G34" i="47"/>
  <c r="F34" i="47"/>
  <c r="E34" i="47"/>
  <c r="D34" i="47"/>
  <c r="C34" i="47"/>
  <c r="M33" i="47"/>
  <c r="L33" i="47"/>
  <c r="K33" i="47"/>
  <c r="J33" i="47"/>
  <c r="I33" i="47"/>
  <c r="H33" i="47"/>
  <c r="G33" i="47"/>
  <c r="F33" i="47"/>
  <c r="E33" i="47"/>
  <c r="D33" i="47"/>
  <c r="C33" i="47"/>
  <c r="M32" i="47"/>
  <c r="L32" i="47"/>
  <c r="K32" i="47"/>
  <c r="J32" i="47"/>
  <c r="I32" i="47"/>
  <c r="H32" i="47"/>
  <c r="G32" i="47"/>
  <c r="F32" i="47"/>
  <c r="E32" i="47"/>
  <c r="D32" i="47"/>
  <c r="C32" i="47"/>
  <c r="M31" i="47"/>
  <c r="L31" i="47"/>
  <c r="K31" i="47"/>
  <c r="J31" i="47"/>
  <c r="I31" i="47"/>
  <c r="H31" i="47"/>
  <c r="G31" i="47"/>
  <c r="F31" i="47"/>
  <c r="E31" i="47"/>
  <c r="D31" i="47"/>
  <c r="C31" i="47"/>
  <c r="M30" i="47"/>
  <c r="L30" i="47"/>
  <c r="K30" i="47"/>
  <c r="J30" i="47"/>
  <c r="I30" i="47"/>
  <c r="H30" i="47"/>
  <c r="G30" i="47"/>
  <c r="F30" i="47"/>
  <c r="E30" i="47"/>
  <c r="D30" i="47"/>
  <c r="C30" i="47"/>
  <c r="AF19" i="47"/>
  <c r="X19" i="47"/>
  <c r="W19" i="47"/>
  <c r="V19" i="47"/>
  <c r="R19" i="47"/>
  <c r="P19" i="47"/>
  <c r="O19" i="47"/>
  <c r="N19" i="47"/>
  <c r="M29" i="47"/>
  <c r="M19" i="47"/>
  <c r="L29" i="47"/>
  <c r="L19" i="47" s="1"/>
  <c r="K29" i="47"/>
  <c r="K19" i="47"/>
  <c r="J29" i="47"/>
  <c r="J19" i="47" s="1"/>
  <c r="I29" i="47"/>
  <c r="I19" i="47"/>
  <c r="H29" i="47"/>
  <c r="G29" i="47"/>
  <c r="G19" i="47"/>
  <c r="F29" i="47"/>
  <c r="F19" i="47" s="1"/>
  <c r="E29" i="47"/>
  <c r="D29" i="47"/>
  <c r="C29" i="47"/>
  <c r="AD17" i="47"/>
  <c r="AB17" i="47"/>
  <c r="AA17" i="47"/>
  <c r="Z17" i="47"/>
  <c r="Y17" i="47"/>
  <c r="S17" i="47"/>
  <c r="R17" i="47"/>
  <c r="Q17" i="47"/>
  <c r="O17" i="47"/>
  <c r="N17" i="47"/>
  <c r="M28" i="47"/>
  <c r="M17" i="47"/>
  <c r="L28" i="47"/>
  <c r="L17" i="47" s="1"/>
  <c r="K28" i="47"/>
  <c r="J28" i="47"/>
  <c r="I28" i="47"/>
  <c r="H28" i="47"/>
  <c r="G28" i="47"/>
  <c r="F28" i="47"/>
  <c r="E28" i="47"/>
  <c r="D28" i="47"/>
  <c r="C28" i="47"/>
  <c r="M27" i="47"/>
  <c r="L27" i="47"/>
  <c r="K27" i="47"/>
  <c r="J27" i="47"/>
  <c r="I27" i="47"/>
  <c r="H27" i="47"/>
  <c r="G27" i="47"/>
  <c r="F27" i="47"/>
  <c r="E27" i="47"/>
  <c r="D27" i="47"/>
  <c r="C27" i="47"/>
  <c r="AF18" i="47"/>
  <c r="AD18" i="47"/>
  <c r="AB18" i="47"/>
  <c r="AA18" i="47"/>
  <c r="W18" i="47"/>
  <c r="V18" i="47"/>
  <c r="S18" i="47"/>
  <c r="P18" i="47"/>
  <c r="O18" i="47"/>
  <c r="N18" i="47"/>
  <c r="M26" i="47"/>
  <c r="M18" i="47"/>
  <c r="M21" i="47"/>
  <c r="L26" i="47"/>
  <c r="K26" i="47"/>
  <c r="J26" i="47"/>
  <c r="I26" i="47"/>
  <c r="H26" i="47"/>
  <c r="G26" i="47"/>
  <c r="F26" i="47"/>
  <c r="E26" i="47"/>
  <c r="D26" i="47"/>
  <c r="D18" i="47" s="1"/>
  <c r="C26" i="47"/>
  <c r="C18" i="47" s="1"/>
  <c r="AF20" i="47"/>
  <c r="AE20" i="47"/>
  <c r="AD20" i="47"/>
  <c r="X20" i="47"/>
  <c r="W20" i="47"/>
  <c r="V20" i="47"/>
  <c r="U20" i="47"/>
  <c r="P20" i="47"/>
  <c r="O20" i="47"/>
  <c r="N20" i="47"/>
  <c r="H20" i="47"/>
  <c r="G20" i="47"/>
  <c r="F20" i="47"/>
  <c r="E20" i="47"/>
  <c r="AB19" i="47"/>
  <c r="AB21" i="47" s="1"/>
  <c r="AA19" i="47"/>
  <c r="T19" i="47"/>
  <c r="S19" i="47"/>
  <c r="C19" i="47"/>
  <c r="Z18" i="47"/>
  <c r="R18" i="47"/>
  <c r="R21" i="47"/>
  <c r="AF17" i="47"/>
  <c r="AF21" i="47" s="1"/>
  <c r="AE17" i="47"/>
  <c r="X17" i="47"/>
  <c r="W17" i="47"/>
  <c r="P17" i="47"/>
  <c r="C27" i="38"/>
  <c r="D27" i="38"/>
  <c r="E27" i="38"/>
  <c r="F27" i="38"/>
  <c r="G27" i="38"/>
  <c r="C28" i="38"/>
  <c r="D28" i="38"/>
  <c r="E28" i="38"/>
  <c r="C29" i="38"/>
  <c r="D29" i="38"/>
  <c r="E29" i="38"/>
  <c r="C30" i="38"/>
  <c r="D30" i="38"/>
  <c r="E30" i="38"/>
  <c r="C31" i="38"/>
  <c r="D31" i="38"/>
  <c r="E31" i="38"/>
  <c r="AD20" i="46"/>
  <c r="AC20" i="46"/>
  <c r="AB20" i="46"/>
  <c r="AA20" i="46"/>
  <c r="Z20" i="46"/>
  <c r="Y20" i="46"/>
  <c r="V20" i="46"/>
  <c r="U20" i="46"/>
  <c r="T20" i="46"/>
  <c r="R20" i="46"/>
  <c r="Q20" i="46"/>
  <c r="O20" i="46"/>
  <c r="L20" i="46"/>
  <c r="K38" i="46"/>
  <c r="K20" i="46"/>
  <c r="J38" i="46"/>
  <c r="J20" i="46"/>
  <c r="I38" i="46"/>
  <c r="I20" i="46"/>
  <c r="H38" i="46"/>
  <c r="G38" i="46"/>
  <c r="F38" i="46"/>
  <c r="F20" i="46" s="1"/>
  <c r="E38" i="46"/>
  <c r="E20" i="46"/>
  <c r="D38" i="46"/>
  <c r="D20" i="46"/>
  <c r="C38" i="46"/>
  <c r="C20" i="46"/>
  <c r="K37" i="46"/>
  <c r="J37" i="46"/>
  <c r="I37" i="46"/>
  <c r="H37" i="46"/>
  <c r="G37" i="46"/>
  <c r="F37" i="46"/>
  <c r="E37" i="46"/>
  <c r="D37" i="46"/>
  <c r="C37" i="46"/>
  <c r="K36" i="46"/>
  <c r="J36" i="46"/>
  <c r="I36" i="46"/>
  <c r="H36" i="46"/>
  <c r="G36" i="46"/>
  <c r="F36" i="46"/>
  <c r="E36" i="46"/>
  <c r="D36" i="46"/>
  <c r="C36" i="46"/>
  <c r="K35" i="46"/>
  <c r="J35" i="46"/>
  <c r="I35" i="46"/>
  <c r="H35" i="46"/>
  <c r="G35" i="46"/>
  <c r="F35" i="46"/>
  <c r="E35" i="46"/>
  <c r="D35" i="46"/>
  <c r="C35" i="46"/>
  <c r="D34" i="46"/>
  <c r="C34" i="46"/>
  <c r="D33" i="46"/>
  <c r="C33" i="46"/>
  <c r="D32" i="46"/>
  <c r="C32" i="46"/>
  <c r="D31" i="46"/>
  <c r="C31" i="46"/>
  <c r="D30" i="46"/>
  <c r="C30" i="46"/>
  <c r="AA19" i="46"/>
  <c r="V19" i="46"/>
  <c r="L19" i="46"/>
  <c r="K29" i="46"/>
  <c r="F19" i="46"/>
  <c r="D29" i="46"/>
  <c r="C29" i="46"/>
  <c r="AF17" i="46"/>
  <c r="AE17" i="46"/>
  <c r="AD17" i="46"/>
  <c r="Y17" i="46"/>
  <c r="X17" i="46"/>
  <c r="W17" i="46"/>
  <c r="N17" i="46"/>
  <c r="K28" i="46"/>
  <c r="J28" i="46"/>
  <c r="J17" i="46" s="1"/>
  <c r="H17" i="46"/>
  <c r="G17" i="46"/>
  <c r="F28" i="46"/>
  <c r="E28" i="46"/>
  <c r="E17" i="46"/>
  <c r="D28" i="46"/>
  <c r="D17" i="46" s="1"/>
  <c r="C28" i="46"/>
  <c r="C17" i="46" s="1"/>
  <c r="K27" i="46"/>
  <c r="J27" i="46"/>
  <c r="I27" i="46"/>
  <c r="H27" i="46"/>
  <c r="G27" i="46"/>
  <c r="F27" i="46"/>
  <c r="E27" i="46"/>
  <c r="D27" i="46"/>
  <c r="C27" i="46"/>
  <c r="AB18" i="46"/>
  <c r="K26" i="46"/>
  <c r="J26" i="46"/>
  <c r="I26" i="46"/>
  <c r="H26" i="46"/>
  <c r="G26" i="46"/>
  <c r="F26" i="46"/>
  <c r="E26" i="46"/>
  <c r="D26" i="46"/>
  <c r="C26" i="46"/>
  <c r="W20" i="46"/>
  <c r="N20" i="46"/>
  <c r="M20" i="46"/>
  <c r="H20" i="46"/>
  <c r="G20" i="46"/>
  <c r="AC17" i="46"/>
  <c r="M20" i="45"/>
  <c r="J20" i="45"/>
  <c r="G20" i="45"/>
  <c r="F20" i="45"/>
  <c r="E20" i="45"/>
  <c r="D20" i="45"/>
  <c r="C38" i="45"/>
  <c r="C20" i="45"/>
  <c r="C37" i="45"/>
  <c r="C36" i="45"/>
  <c r="C35" i="45"/>
  <c r="C34" i="45"/>
  <c r="C33" i="45"/>
  <c r="C32" i="45"/>
  <c r="C31" i="45"/>
  <c r="C30" i="45"/>
  <c r="C29" i="45"/>
  <c r="J17" i="45"/>
  <c r="F17" i="45"/>
  <c r="D17" i="45"/>
  <c r="C28" i="45"/>
  <c r="C17" i="45"/>
  <c r="C27" i="45"/>
  <c r="C26" i="45"/>
  <c r="AE20" i="45"/>
  <c r="AC20" i="45"/>
  <c r="U20" i="45"/>
  <c r="N20" i="45"/>
  <c r="R17" i="45"/>
  <c r="U20" i="44"/>
  <c r="S20" i="44"/>
  <c r="R20" i="44"/>
  <c r="Q20" i="44"/>
  <c r="O20" i="44"/>
  <c r="I20" i="44"/>
  <c r="H20" i="44"/>
  <c r="C38" i="44"/>
  <c r="C20" i="44" s="1"/>
  <c r="C37" i="44"/>
  <c r="C29" i="44"/>
  <c r="C19" i="44" s="1"/>
  <c r="Q17" i="44"/>
  <c r="C28" i="44"/>
  <c r="C27" i="44"/>
  <c r="C18" i="44" s="1"/>
  <c r="C26" i="44"/>
  <c r="Y20" i="44"/>
  <c r="X20" i="44"/>
  <c r="W20" i="44"/>
  <c r="U17" i="44"/>
  <c r="S17" i="44"/>
  <c r="V20" i="43"/>
  <c r="T20" i="43"/>
  <c r="R20" i="43"/>
  <c r="I20" i="43"/>
  <c r="E20" i="43"/>
  <c r="C38" i="43"/>
  <c r="C20" i="43"/>
  <c r="C37" i="43"/>
  <c r="C36" i="43"/>
  <c r="C35" i="43"/>
  <c r="C34" i="43"/>
  <c r="C33" i="43"/>
  <c r="C32" i="43"/>
  <c r="C31" i="43"/>
  <c r="C30" i="43"/>
  <c r="D19" i="43"/>
  <c r="C29" i="43"/>
  <c r="AF17" i="43"/>
  <c r="X17" i="43"/>
  <c r="Q17" i="43"/>
  <c r="E17" i="43"/>
  <c r="C28" i="43"/>
  <c r="C27" i="43"/>
  <c r="C26" i="43"/>
  <c r="N20" i="43"/>
  <c r="F20" i="43"/>
  <c r="D20" i="43"/>
  <c r="AF38" i="39"/>
  <c r="AF20" i="39"/>
  <c r="AE38" i="39"/>
  <c r="AE20" i="39"/>
  <c r="AD38" i="39"/>
  <c r="AD20" i="39"/>
  <c r="AC38" i="39"/>
  <c r="AC20" i="39"/>
  <c r="AB38" i="39"/>
  <c r="AB20" i="39"/>
  <c r="AA38" i="39"/>
  <c r="AA20" i="39"/>
  <c r="Z38" i="39"/>
  <c r="Z20" i="39"/>
  <c r="Y38" i="39"/>
  <c r="Y20" i="39"/>
  <c r="X38" i="39"/>
  <c r="X20" i="39"/>
  <c r="W38" i="39"/>
  <c r="W20" i="39"/>
  <c r="V38" i="39"/>
  <c r="V20" i="39"/>
  <c r="U38" i="39"/>
  <c r="T38" i="39"/>
  <c r="T20" i="39"/>
  <c r="S38" i="39"/>
  <c r="S20" i="39"/>
  <c r="R38" i="39"/>
  <c r="R20" i="39"/>
  <c r="Q38" i="39"/>
  <c r="Q20" i="39"/>
  <c r="P38" i="39"/>
  <c r="P20" i="39"/>
  <c r="O38" i="39"/>
  <c r="O20" i="39"/>
  <c r="N38" i="39"/>
  <c r="N20" i="39"/>
  <c r="M38" i="39"/>
  <c r="L38" i="39"/>
  <c r="L20" i="39"/>
  <c r="K38" i="39"/>
  <c r="K20" i="39"/>
  <c r="J38" i="39"/>
  <c r="J20" i="39"/>
  <c r="I38" i="39"/>
  <c r="I20" i="39"/>
  <c r="H38" i="39"/>
  <c r="H20" i="39"/>
  <c r="G38" i="39"/>
  <c r="G20" i="39"/>
  <c r="F38" i="39"/>
  <c r="E38" i="39"/>
  <c r="D38" i="39"/>
  <c r="D20" i="39"/>
  <c r="C38" i="39"/>
  <c r="C20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F36" i="39"/>
  <c r="AE36" i="39"/>
  <c r="AD36" i="39"/>
  <c r="AC36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F35" i="39"/>
  <c r="AE35" i="39"/>
  <c r="AD35" i="39"/>
  <c r="AC35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S17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F33" i="39"/>
  <c r="AE33" i="39"/>
  <c r="AD33" i="39"/>
  <c r="AC33" i="39"/>
  <c r="AB33" i="39"/>
  <c r="AA33" i="39"/>
  <c r="AA31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18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I31" i="39"/>
  <c r="H32" i="39"/>
  <c r="G32" i="39"/>
  <c r="F32" i="39"/>
  <c r="E32" i="39"/>
  <c r="D32" i="39"/>
  <c r="C32" i="39"/>
  <c r="AF31" i="39"/>
  <c r="AE31" i="39"/>
  <c r="AD31" i="39"/>
  <c r="AC31" i="39"/>
  <c r="AB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K26" i="39"/>
  <c r="K27" i="39"/>
  <c r="J31" i="39"/>
  <c r="H31" i="39"/>
  <c r="G31" i="39"/>
  <c r="F31" i="39"/>
  <c r="E31" i="39"/>
  <c r="D31" i="39"/>
  <c r="C31" i="39"/>
  <c r="AF30" i="39"/>
  <c r="AE30" i="39"/>
  <c r="AD30" i="39"/>
  <c r="AC30" i="39"/>
  <c r="AB30" i="39"/>
  <c r="AA30" i="39"/>
  <c r="Z30" i="39"/>
  <c r="Y30" i="39"/>
  <c r="X30" i="39"/>
  <c r="W19" i="39"/>
  <c r="V19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I19" i="39"/>
  <c r="H30" i="39"/>
  <c r="G30" i="39"/>
  <c r="F30" i="39"/>
  <c r="E30" i="39"/>
  <c r="D30" i="39"/>
  <c r="C30" i="39"/>
  <c r="AF29" i="39"/>
  <c r="AE29" i="39"/>
  <c r="AD29" i="39"/>
  <c r="AC29" i="39"/>
  <c r="AB29" i="39"/>
  <c r="AB19" i="39"/>
  <c r="AA29" i="39"/>
  <c r="Z29" i="39"/>
  <c r="Y29" i="39"/>
  <c r="X29" i="39"/>
  <c r="U29" i="39"/>
  <c r="U19" i="39"/>
  <c r="T29" i="39"/>
  <c r="S29" i="39"/>
  <c r="R29" i="39"/>
  <c r="Q29" i="39"/>
  <c r="P29" i="39"/>
  <c r="O29" i="39"/>
  <c r="N29" i="39"/>
  <c r="M29" i="39"/>
  <c r="M19" i="39"/>
  <c r="L29" i="39"/>
  <c r="L19" i="39"/>
  <c r="K29" i="39"/>
  <c r="J29" i="39"/>
  <c r="I29" i="39"/>
  <c r="H29" i="39"/>
  <c r="G29" i="39"/>
  <c r="F29" i="39"/>
  <c r="E29" i="39"/>
  <c r="D29" i="39"/>
  <c r="D19" i="39"/>
  <c r="C29" i="39"/>
  <c r="AF28" i="39"/>
  <c r="AF17" i="39"/>
  <c r="AE28" i="39"/>
  <c r="AD28" i="39"/>
  <c r="AD17" i="39"/>
  <c r="AC28" i="39"/>
  <c r="AB28" i="39"/>
  <c r="AB17" i="39"/>
  <c r="AA28" i="39"/>
  <c r="AA17" i="39"/>
  <c r="Z28" i="39"/>
  <c r="Z17" i="39"/>
  <c r="Y28" i="39"/>
  <c r="Y17" i="39"/>
  <c r="X28" i="39"/>
  <c r="V17" i="39"/>
  <c r="U28" i="39"/>
  <c r="T28" i="39"/>
  <c r="T17" i="39"/>
  <c r="S28" i="39"/>
  <c r="R28" i="39"/>
  <c r="Q28" i="39"/>
  <c r="Q17" i="39"/>
  <c r="P28" i="39"/>
  <c r="O28" i="39"/>
  <c r="N28" i="39"/>
  <c r="N17" i="39"/>
  <c r="M28" i="39"/>
  <c r="M17" i="39"/>
  <c r="L28" i="39"/>
  <c r="L17" i="39"/>
  <c r="K28" i="39"/>
  <c r="K17" i="39"/>
  <c r="J28" i="39"/>
  <c r="J17" i="39"/>
  <c r="I28" i="39"/>
  <c r="H28" i="39"/>
  <c r="H17" i="39"/>
  <c r="G28" i="39"/>
  <c r="F28" i="39"/>
  <c r="E28" i="39"/>
  <c r="D28" i="39"/>
  <c r="C28" i="39"/>
  <c r="AF27" i="39"/>
  <c r="AE27" i="39"/>
  <c r="AD27" i="39"/>
  <c r="AC27" i="39"/>
  <c r="AB27" i="39"/>
  <c r="AA27" i="39"/>
  <c r="Z27" i="39"/>
  <c r="Y27" i="39"/>
  <c r="X27" i="39"/>
  <c r="U27" i="39"/>
  <c r="T27" i="39"/>
  <c r="S27" i="39"/>
  <c r="R27" i="39"/>
  <c r="Q27" i="39"/>
  <c r="P27" i="39"/>
  <c r="O27" i="39"/>
  <c r="N27" i="39"/>
  <c r="M27" i="39"/>
  <c r="M18" i="39"/>
  <c r="M21" i="39"/>
  <c r="L27" i="39"/>
  <c r="J27" i="39"/>
  <c r="I27" i="39"/>
  <c r="H27" i="39"/>
  <c r="G27" i="39"/>
  <c r="F27" i="39"/>
  <c r="E27" i="39"/>
  <c r="D27" i="39"/>
  <c r="C27" i="39"/>
  <c r="AF26" i="39"/>
  <c r="AE26" i="39"/>
  <c r="AD26" i="39"/>
  <c r="AC26" i="39"/>
  <c r="AB26" i="39"/>
  <c r="AB18" i="39"/>
  <c r="AA26" i="39"/>
  <c r="AA18" i="39"/>
  <c r="Z26" i="39"/>
  <c r="Y26" i="39"/>
  <c r="X26" i="39"/>
  <c r="U26" i="39"/>
  <c r="T26" i="39"/>
  <c r="S26" i="39"/>
  <c r="R26" i="39"/>
  <c r="Q26" i="39"/>
  <c r="P26" i="39"/>
  <c r="O26" i="39"/>
  <c r="N26" i="39"/>
  <c r="M26" i="39"/>
  <c r="L26" i="39"/>
  <c r="J26" i="39"/>
  <c r="I26" i="39"/>
  <c r="H26" i="39"/>
  <c r="G26" i="39"/>
  <c r="F26" i="39"/>
  <c r="E26" i="39"/>
  <c r="D26" i="39"/>
  <c r="C26" i="39"/>
  <c r="U20" i="39"/>
  <c r="M20" i="39"/>
  <c r="F20" i="39"/>
  <c r="E20" i="39"/>
  <c r="AE21" i="38"/>
  <c r="AD21" i="38"/>
  <c r="AC21" i="38"/>
  <c r="AB21" i="38"/>
  <c r="AA21" i="38"/>
  <c r="Y21" i="38"/>
  <c r="V21" i="38"/>
  <c r="Q21" i="38"/>
  <c r="N21" i="38"/>
  <c r="M21" i="38"/>
  <c r="J21" i="38"/>
  <c r="E39" i="38"/>
  <c r="E21" i="38"/>
  <c r="D39" i="38"/>
  <c r="D21" i="38"/>
  <c r="C39" i="38"/>
  <c r="E38" i="38"/>
  <c r="D38" i="38"/>
  <c r="C38" i="38"/>
  <c r="E37" i="38"/>
  <c r="D37" i="38"/>
  <c r="C37" i="38"/>
  <c r="E36" i="38"/>
  <c r="D36" i="38"/>
  <c r="C36" i="38"/>
  <c r="E35" i="38"/>
  <c r="E18" i="38"/>
  <c r="D35" i="38"/>
  <c r="D18" i="38"/>
  <c r="C35" i="38"/>
  <c r="C18" i="38"/>
  <c r="E34" i="38"/>
  <c r="D34" i="38"/>
  <c r="C34" i="38"/>
  <c r="E33" i="38"/>
  <c r="D33" i="38"/>
  <c r="C33" i="38"/>
  <c r="G19" i="38"/>
  <c r="F19" i="38"/>
  <c r="E32" i="38"/>
  <c r="D32" i="38"/>
  <c r="C32" i="38"/>
  <c r="AE18" i="38"/>
  <c r="AC18" i="38"/>
  <c r="AB18" i="38"/>
  <c r="AA18" i="38"/>
  <c r="Y18" i="38"/>
  <c r="U18" i="38"/>
  <c r="L18" i="38"/>
  <c r="I18" i="38"/>
  <c r="I27" i="38"/>
  <c r="H27" i="38"/>
  <c r="T21" i="38"/>
  <c r="S21" i="38"/>
  <c r="L21" i="38"/>
  <c r="K21" i="38"/>
  <c r="I21" i="38"/>
  <c r="H21" i="38"/>
  <c r="C21" i="38"/>
  <c r="R17" i="39"/>
  <c r="X17" i="39"/>
  <c r="G18" i="39"/>
  <c r="AC17" i="39"/>
  <c r="P19" i="49"/>
  <c r="V19" i="49"/>
  <c r="I19" i="49"/>
  <c r="J19" i="49"/>
  <c r="R19" i="49"/>
  <c r="P18" i="49"/>
  <c r="L17" i="49"/>
  <c r="H19" i="49"/>
  <c r="Q19" i="49"/>
  <c r="K18" i="48"/>
  <c r="S18" i="48"/>
  <c r="AA18" i="48"/>
  <c r="M17" i="48"/>
  <c r="AC17" i="48"/>
  <c r="W19" i="48"/>
  <c r="I17" i="48"/>
  <c r="I21" i="48" s="1"/>
  <c r="Q17" i="48"/>
  <c r="Y17" i="48"/>
  <c r="M19" i="48"/>
  <c r="U19" i="48"/>
  <c r="AB17" i="48"/>
  <c r="L18" i="48"/>
  <c r="AB18" i="48"/>
  <c r="N17" i="48"/>
  <c r="AD17" i="48"/>
  <c r="P19" i="48"/>
  <c r="P21" i="48"/>
  <c r="X19" i="48"/>
  <c r="R17" i="48"/>
  <c r="Z17" i="48"/>
  <c r="N19" i="48"/>
  <c r="V19" i="48"/>
  <c r="V21" i="48"/>
  <c r="M18" i="48"/>
  <c r="Q19" i="48"/>
  <c r="Q21" i="48" s="1"/>
  <c r="Y19" i="48"/>
  <c r="K17" i="48"/>
  <c r="S17" i="48"/>
  <c r="AA17" i="48"/>
  <c r="C21" i="48"/>
  <c r="H21" i="48"/>
  <c r="C20" i="38"/>
  <c r="D17" i="39"/>
  <c r="I17" i="39"/>
  <c r="AE17" i="39"/>
  <c r="P17" i="43"/>
  <c r="D17" i="43"/>
  <c r="C17" i="43"/>
  <c r="O17" i="39"/>
  <c r="P17" i="39"/>
  <c r="W17" i="39"/>
  <c r="AD19" i="46"/>
  <c r="C19" i="46"/>
  <c r="T19" i="46"/>
  <c r="AA17" i="46"/>
  <c r="D19" i="46"/>
  <c r="V17" i="46"/>
  <c r="AF18" i="46"/>
  <c r="J19" i="39"/>
  <c r="V17" i="47"/>
  <c r="V21" i="47"/>
  <c r="T17" i="47"/>
  <c r="U21" i="52"/>
  <c r="T18" i="39"/>
  <c r="AB17" i="55"/>
  <c r="AB21" i="55" s="1"/>
  <c r="F20" i="38"/>
  <c r="G20" i="38"/>
  <c r="C19" i="43"/>
  <c r="Z19" i="39"/>
  <c r="AA19" i="39"/>
  <c r="K18" i="54"/>
  <c r="I19" i="54"/>
  <c r="G19" i="54"/>
  <c r="W19" i="54"/>
  <c r="W17" i="54"/>
  <c r="T21" i="51"/>
  <c r="L18" i="51"/>
  <c r="AB18" i="51"/>
  <c r="M18" i="51"/>
  <c r="M21" i="51"/>
  <c r="AC18" i="51"/>
  <c r="AC21" i="51"/>
  <c r="J19" i="51"/>
  <c r="Z19" i="51"/>
  <c r="F18" i="51"/>
  <c r="AD18" i="51"/>
  <c r="F17" i="51"/>
  <c r="H19" i="51"/>
  <c r="O18" i="51"/>
  <c r="W18" i="51"/>
  <c r="W21" i="51"/>
  <c r="AE18" i="51"/>
  <c r="G17" i="51"/>
  <c r="W17" i="51"/>
  <c r="AE17" i="51"/>
  <c r="V18" i="51"/>
  <c r="N17" i="51"/>
  <c r="AD17" i="51"/>
  <c r="AD21" i="51"/>
  <c r="P19" i="51"/>
  <c r="X19" i="51"/>
  <c r="AF19" i="51"/>
  <c r="P18" i="51"/>
  <c r="P21" i="51"/>
  <c r="X18" i="51"/>
  <c r="X21" i="51"/>
  <c r="AF18" i="51"/>
  <c r="D18" i="51"/>
  <c r="D21" i="51" s="1"/>
  <c r="T18" i="51"/>
  <c r="E18" i="51"/>
  <c r="E21" i="51"/>
  <c r="U18" i="51"/>
  <c r="U21" i="51"/>
  <c r="R19" i="51"/>
  <c r="R21" i="51"/>
  <c r="G19" i="51"/>
  <c r="O19" i="51"/>
  <c r="W19" i="51"/>
  <c r="AE19" i="51"/>
  <c r="N18" i="51"/>
  <c r="N21" i="51"/>
  <c r="V17" i="51"/>
  <c r="V21" i="51"/>
  <c r="Q18" i="51"/>
  <c r="Y18" i="51"/>
  <c r="Y21" i="51"/>
  <c r="C18" i="51"/>
  <c r="K18" i="51"/>
  <c r="S18" i="51"/>
  <c r="AA18" i="51"/>
  <c r="K21" i="52"/>
  <c r="Y21" i="52"/>
  <c r="F21" i="52"/>
  <c r="O21" i="52"/>
  <c r="I21" i="52"/>
  <c r="T21" i="52"/>
  <c r="J21" i="52"/>
  <c r="G21" i="52"/>
  <c r="C21" i="52"/>
  <c r="Q21" i="52"/>
  <c r="AF21" i="51"/>
  <c r="F21" i="51"/>
  <c r="AE21" i="51"/>
  <c r="Z21" i="51"/>
  <c r="AA21" i="51"/>
  <c r="C21" i="51"/>
  <c r="AB21" i="51"/>
  <c r="V17" i="50"/>
  <c r="AG21" i="50"/>
  <c r="E17" i="54"/>
  <c r="H17" i="44"/>
  <c r="O18" i="57"/>
  <c r="M18" i="57"/>
  <c r="C18" i="56"/>
  <c r="AF18" i="55"/>
  <c r="AG18" i="55"/>
  <c r="AG21" i="55" s="1"/>
  <c r="AF17" i="55"/>
  <c r="X19" i="44"/>
  <c r="X21" i="57"/>
  <c r="G17" i="43"/>
  <c r="K18" i="43"/>
  <c r="H17" i="43"/>
  <c r="K17" i="46"/>
  <c r="AA18" i="49"/>
  <c r="AA21" i="49" s="1"/>
  <c r="V21" i="52"/>
  <c r="AA19" i="44"/>
  <c r="AF18" i="38"/>
  <c r="AG18" i="38"/>
  <c r="AG19" i="43"/>
  <c r="Z17" i="43"/>
  <c r="U17" i="43"/>
  <c r="N17" i="43"/>
  <c r="M17" i="43"/>
  <c r="L18" i="43"/>
  <c r="J17" i="43"/>
  <c r="O17" i="46"/>
  <c r="P17" i="46"/>
  <c r="Q17" i="46"/>
  <c r="P18" i="55"/>
  <c r="AF18" i="49"/>
  <c r="AF21" i="49" s="1"/>
  <c r="L17" i="48"/>
  <c r="Z19" i="43"/>
  <c r="Z21" i="43"/>
  <c r="P18" i="43"/>
  <c r="F19" i="43"/>
  <c r="J19" i="43"/>
  <c r="I19" i="43"/>
  <c r="H19" i="43"/>
  <c r="AE17" i="43"/>
  <c r="AD17" i="43"/>
  <c r="AC17" i="43"/>
  <c r="W17" i="43"/>
  <c r="V17" i="43"/>
  <c r="O17" i="43"/>
  <c r="L17" i="43"/>
  <c r="K17" i="43"/>
  <c r="F17" i="43"/>
  <c r="W18" i="43"/>
  <c r="V18" i="43"/>
  <c r="Q18" i="43"/>
  <c r="I18" i="43"/>
  <c r="R18" i="43"/>
  <c r="P19" i="43"/>
  <c r="AC18" i="43"/>
  <c r="AB18" i="43"/>
  <c r="AA18" i="43"/>
  <c r="Z18" i="43"/>
  <c r="U18" i="43"/>
  <c r="T18" i="43"/>
  <c r="S18" i="43"/>
  <c r="J18" i="43"/>
  <c r="H18" i="38"/>
  <c r="G18" i="38"/>
  <c r="F18" i="38"/>
  <c r="X18" i="43"/>
  <c r="D18" i="43"/>
  <c r="C18" i="43"/>
  <c r="C21" i="43"/>
  <c r="H18" i="43"/>
  <c r="H21" i="43"/>
  <c r="G18" i="43"/>
  <c r="I18" i="57"/>
  <c r="AA19" i="56"/>
  <c r="AG17" i="55"/>
  <c r="O19" i="43"/>
  <c r="Q19" i="43"/>
  <c r="Q21" i="43"/>
  <c r="S19" i="43"/>
  <c r="H19" i="57"/>
  <c r="G19" i="57"/>
  <c r="G21" i="57"/>
  <c r="I19" i="57"/>
  <c r="W19" i="56"/>
  <c r="AE19" i="56"/>
  <c r="AC19" i="56"/>
  <c r="AF19" i="56"/>
  <c r="C19" i="57"/>
  <c r="W21" i="57"/>
  <c r="I21" i="57"/>
  <c r="Y21" i="57"/>
  <c r="F21" i="57"/>
  <c r="AA21" i="57"/>
  <c r="AB21" i="57"/>
  <c r="K19" i="43"/>
  <c r="U19" i="43"/>
  <c r="U21" i="43"/>
  <c r="R17" i="43"/>
  <c r="S17" i="43"/>
  <c r="T17" i="43"/>
  <c r="AA17" i="43"/>
  <c r="AB17" i="43"/>
  <c r="Y19" i="43"/>
  <c r="Y21" i="43"/>
  <c r="N18" i="43"/>
  <c r="N19" i="43"/>
  <c r="D20" i="38"/>
  <c r="L20" i="38"/>
  <c r="R20" i="38"/>
  <c r="AF20" i="38"/>
  <c r="AD18" i="38"/>
  <c r="N18" i="38"/>
  <c r="E18" i="43"/>
  <c r="AF18" i="43"/>
  <c r="M18" i="43"/>
  <c r="O18" i="43"/>
  <c r="G19" i="43"/>
  <c r="T20" i="38"/>
  <c r="F18" i="43"/>
  <c r="Y18" i="43"/>
  <c r="R19" i="43"/>
  <c r="D21" i="43"/>
  <c r="AC19" i="43"/>
  <c r="M19" i="43"/>
  <c r="L19" i="43"/>
  <c r="E19" i="43"/>
  <c r="AD19" i="38"/>
  <c r="S18" i="38"/>
  <c r="K18" i="38"/>
  <c r="E19" i="38"/>
  <c r="E20" i="38"/>
  <c r="AC19" i="38"/>
  <c r="AC18" i="39"/>
  <c r="AD18" i="39"/>
  <c r="S20" i="38"/>
  <c r="M20" i="38"/>
  <c r="AG20" i="38"/>
  <c r="N19" i="38"/>
  <c r="C19" i="38"/>
  <c r="C22" i="38"/>
  <c r="H19" i="38"/>
  <c r="X19" i="38"/>
  <c r="AE20" i="38"/>
  <c r="K20" i="38"/>
  <c r="U20" i="38"/>
  <c r="G22" i="38"/>
  <c r="AE19" i="38"/>
  <c r="P18" i="38"/>
  <c r="T18" i="38"/>
  <c r="U17" i="39"/>
  <c r="C17" i="44"/>
  <c r="C21" i="44" s="1"/>
  <c r="N20" i="38"/>
  <c r="S18" i="39"/>
  <c r="P19" i="38"/>
  <c r="Z19" i="38"/>
  <c r="V18" i="38"/>
  <c r="Q18" i="38"/>
  <c r="W18" i="38"/>
  <c r="O18" i="38"/>
  <c r="Y20" i="38"/>
  <c r="O20" i="38"/>
  <c r="P20" i="38"/>
  <c r="Q20" i="38"/>
  <c r="H20" i="38"/>
  <c r="I20" i="38"/>
  <c r="AD18" i="43"/>
  <c r="AG18" i="43"/>
  <c r="AE18" i="43"/>
  <c r="AC19" i="39"/>
  <c r="V18" i="39"/>
  <c r="V21" i="39"/>
  <c r="U18" i="39"/>
  <c r="U21" i="39"/>
  <c r="X18" i="39"/>
  <c r="Z18" i="39"/>
  <c r="Z21" i="39"/>
  <c r="N19" i="39"/>
  <c r="AD19" i="39"/>
  <c r="AD21" i="39"/>
  <c r="O19" i="39"/>
  <c r="AE19" i="39"/>
  <c r="Q18" i="39"/>
  <c r="Q21" i="39"/>
  <c r="Y18" i="39"/>
  <c r="Y21" i="39"/>
  <c r="C17" i="39"/>
  <c r="H19" i="39"/>
  <c r="P19" i="39"/>
  <c r="X19" i="39"/>
  <c r="AF19" i="39"/>
  <c r="W18" i="39"/>
  <c r="W21" i="39"/>
  <c r="Q19" i="39"/>
  <c r="Y19" i="39"/>
  <c r="S19" i="39"/>
  <c r="AF18" i="39"/>
  <c r="E17" i="39"/>
  <c r="T19" i="39"/>
  <c r="T21" i="39"/>
  <c r="C19" i="39"/>
  <c r="C21" i="39"/>
  <c r="D18" i="39"/>
  <c r="D21" i="39"/>
  <c r="K19" i="39"/>
  <c r="R19" i="39"/>
  <c r="K18" i="39"/>
  <c r="L18" i="39"/>
  <c r="L21" i="39"/>
  <c r="F18" i="39"/>
  <c r="F17" i="39"/>
  <c r="F19" i="39"/>
  <c r="G17" i="39"/>
  <c r="G21" i="39"/>
  <c r="G19" i="39"/>
  <c r="H18" i="39"/>
  <c r="H21" i="39"/>
  <c r="AB21" i="39"/>
  <c r="AA21" i="39"/>
  <c r="I18" i="39"/>
  <c r="I21" i="39"/>
  <c r="AE18" i="39"/>
  <c r="S21" i="39"/>
  <c r="N18" i="39"/>
  <c r="N21" i="39"/>
  <c r="O18" i="39"/>
  <c r="O21" i="39"/>
  <c r="P18" i="39"/>
  <c r="P21" i="39"/>
  <c r="R18" i="39"/>
  <c r="J18" i="39"/>
  <c r="J21" i="39"/>
  <c r="E19" i="39"/>
  <c r="E18" i="39"/>
  <c r="V20" i="38"/>
  <c r="X18" i="38"/>
  <c r="X20" i="38"/>
  <c r="J20" i="38"/>
  <c r="W19" i="38"/>
  <c r="AB19" i="38"/>
  <c r="Z20" i="38"/>
  <c r="J19" i="38"/>
  <c r="I19" i="38"/>
  <c r="AF19" i="38"/>
  <c r="AF22" i="38"/>
  <c r="V19" i="38"/>
  <c r="R19" i="38"/>
  <c r="R22" i="38"/>
  <c r="O19" i="38"/>
  <c r="M19" i="38"/>
  <c r="F22" i="38"/>
  <c r="K19" i="38"/>
  <c r="K22" i="38"/>
  <c r="AA19" i="38"/>
  <c r="AD20" i="38"/>
  <c r="AA20" i="38"/>
  <c r="D19" i="38"/>
  <c r="D22" i="38"/>
  <c r="L19" i="38"/>
  <c r="L22" i="38"/>
  <c r="Q19" i="38"/>
  <c r="Y19" i="38"/>
  <c r="AG19" i="38"/>
  <c r="M18" i="38"/>
  <c r="Z18" i="38"/>
  <c r="W20" i="38"/>
  <c r="S19" i="38"/>
  <c r="T19" i="38"/>
  <c r="U19" i="38"/>
  <c r="AB20" i="38"/>
  <c r="AC20" i="38"/>
  <c r="L21" i="43"/>
  <c r="R21" i="43"/>
  <c r="J21" i="43"/>
  <c r="M21" i="43"/>
  <c r="I21" i="43"/>
  <c r="G21" i="43"/>
  <c r="P21" i="43"/>
  <c r="AC21" i="43"/>
  <c r="N21" i="43"/>
  <c r="F21" i="43"/>
  <c r="K21" i="43"/>
  <c r="E21" i="43"/>
  <c r="O21" i="43"/>
  <c r="S21" i="43"/>
  <c r="U22" i="38"/>
  <c r="AD22" i="38"/>
  <c r="AC22" i="38"/>
  <c r="S22" i="38"/>
  <c r="AE22" i="38"/>
  <c r="N22" i="38"/>
  <c r="E22" i="38"/>
  <c r="AC21" i="39"/>
  <c r="AG22" i="38"/>
  <c r="I22" i="38"/>
  <c r="H22" i="38"/>
  <c r="T22" i="38"/>
  <c r="AB22" i="38"/>
  <c r="P22" i="38"/>
  <c r="J22" i="38"/>
  <c r="Z22" i="38"/>
  <c r="AF21" i="39"/>
  <c r="Y22" i="38"/>
  <c r="V22" i="38"/>
  <c r="Q22" i="38"/>
  <c r="O22" i="38"/>
  <c r="X22" i="38"/>
  <c r="W22" i="38"/>
  <c r="C16" i="38"/>
  <c r="AE21" i="39"/>
  <c r="X21" i="39"/>
  <c r="F21" i="39"/>
  <c r="K21" i="39"/>
  <c r="R21" i="39"/>
  <c r="M22" i="38"/>
  <c r="C16" i="39"/>
  <c r="E21" i="39"/>
  <c r="AA22" i="38"/>
  <c r="I18" i="47"/>
  <c r="AH19" i="43"/>
  <c r="AN19" i="43"/>
  <c r="AM19" i="43"/>
  <c r="AL18" i="43"/>
  <c r="AI18" i="43"/>
  <c r="AN18" i="43"/>
  <c r="AN21" i="43"/>
  <c r="AJ18" i="43"/>
  <c r="AJ21" i="43"/>
  <c r="K21" i="49"/>
  <c r="G18" i="49"/>
  <c r="G21" i="49" s="1"/>
  <c r="AH21" i="43"/>
  <c r="AL21" i="43"/>
  <c r="AI21" i="43"/>
  <c r="AM21" i="43"/>
  <c r="S17" i="46"/>
  <c r="T17" i="46"/>
  <c r="J19" i="46"/>
  <c r="C19" i="45"/>
  <c r="D18" i="45"/>
  <c r="AA21" i="43"/>
  <c r="AB21" i="43"/>
  <c r="P21" i="47"/>
  <c r="AD21" i="43"/>
  <c r="Z18" i="55"/>
  <c r="J19" i="44"/>
  <c r="AF19" i="43"/>
  <c r="AE21" i="43"/>
  <c r="T19" i="43"/>
  <c r="T21" i="43"/>
  <c r="F18" i="47"/>
  <c r="G18" i="47"/>
  <c r="F18" i="44"/>
  <c r="J21" i="51"/>
  <c r="AC19" i="44"/>
  <c r="R18" i="46"/>
  <c r="D18" i="44"/>
  <c r="L17" i="44"/>
  <c r="AG21" i="43"/>
  <c r="AF21" i="43"/>
  <c r="C16" i="43"/>
  <c r="AE17" i="56"/>
  <c r="AF17" i="56"/>
  <c r="R18" i="50"/>
  <c r="AH16" i="43"/>
  <c r="AD18" i="46" l="1"/>
  <c r="D21" i="50"/>
  <c r="AD17" i="49"/>
  <c r="J18" i="47"/>
  <c r="L18" i="47"/>
  <c r="L21" i="47" s="1"/>
  <c r="T18" i="47"/>
  <c r="T21" i="47" s="1"/>
  <c r="AC19" i="47"/>
  <c r="U19" i="47"/>
  <c r="Y19" i="47"/>
  <c r="Q19" i="47"/>
  <c r="AC17" i="47"/>
  <c r="U17" i="47"/>
  <c r="Y18" i="47"/>
  <c r="Q18" i="47"/>
  <c r="AC18" i="47"/>
  <c r="AE18" i="47"/>
  <c r="AD19" i="47"/>
  <c r="AE19" i="47"/>
  <c r="AE21" i="47"/>
  <c r="X21" i="52"/>
  <c r="AB21" i="52"/>
  <c r="J21" i="48"/>
  <c r="AA21" i="56"/>
  <c r="C21" i="56"/>
  <c r="AE21" i="52"/>
  <c r="D21" i="56"/>
  <c r="AB21" i="50"/>
  <c r="E21" i="50"/>
  <c r="F21" i="50"/>
  <c r="O21" i="50"/>
  <c r="V21" i="50"/>
  <c r="J21" i="50"/>
  <c r="L21" i="50"/>
  <c r="K18" i="47"/>
  <c r="P18" i="46"/>
  <c r="AD21" i="46"/>
  <c r="Z19" i="46"/>
  <c r="W19" i="46"/>
  <c r="W21" i="46" s="1"/>
  <c r="AE19" i="46"/>
  <c r="Y18" i="46"/>
  <c r="Y21" i="46" s="1"/>
  <c r="L19" i="48"/>
  <c r="L21" i="48"/>
  <c r="K18" i="56"/>
  <c r="K21" i="56" s="1"/>
  <c r="G18" i="56"/>
  <c r="G21" i="56" s="1"/>
  <c r="H17" i="56"/>
  <c r="H21" i="56" s="1"/>
  <c r="K21" i="50"/>
  <c r="U18" i="54"/>
  <c r="U21" i="54" s="1"/>
  <c r="O18" i="54"/>
  <c r="U18" i="47"/>
  <c r="Q18" i="46"/>
  <c r="U21" i="47"/>
  <c r="Q21" i="47"/>
  <c r="O21" i="47"/>
  <c r="AA21" i="47"/>
  <c r="R21" i="50"/>
  <c r="Z21" i="54"/>
  <c r="AA21" i="48"/>
  <c r="AB21" i="48"/>
  <c r="C18" i="46"/>
  <c r="AF19" i="46"/>
  <c r="AF21" i="46" s="1"/>
  <c r="X19" i="46"/>
  <c r="X21" i="46" s="1"/>
  <c r="AA18" i="46"/>
  <c r="AA21" i="46" s="1"/>
  <c r="W18" i="46"/>
  <c r="S18" i="46"/>
  <c r="S21" i="46" s="1"/>
  <c r="AE18" i="46"/>
  <c r="AE21" i="46" s="1"/>
  <c r="AC19" i="46"/>
  <c r="AC21" i="46" s="1"/>
  <c r="M19" i="46"/>
  <c r="X21" i="48"/>
  <c r="H19" i="46"/>
  <c r="G19" i="46"/>
  <c r="U18" i="48"/>
  <c r="U21" i="48" s="1"/>
  <c r="W21" i="48"/>
  <c r="AG18" i="49"/>
  <c r="AG21" i="49" s="1"/>
  <c r="N21" i="47"/>
  <c r="S21" i="47"/>
  <c r="AC21" i="47"/>
  <c r="AD21" i="47"/>
  <c r="D19" i="47"/>
  <c r="H19" i="47"/>
  <c r="Z19" i="47"/>
  <c r="X18" i="47"/>
  <c r="E18" i="47"/>
  <c r="H18" i="47"/>
  <c r="C17" i="47"/>
  <c r="C21" i="47" s="1"/>
  <c r="D17" i="47"/>
  <c r="E17" i="47"/>
  <c r="F17" i="47"/>
  <c r="G17" i="47"/>
  <c r="G21" i="47" s="1"/>
  <c r="H17" i="47"/>
  <c r="I17" i="47"/>
  <c r="I21" i="47" s="1"/>
  <c r="J17" i="47"/>
  <c r="K17" i="47"/>
  <c r="AG18" i="47"/>
  <c r="AG21" i="47" s="1"/>
  <c r="E21" i="49"/>
  <c r="AD21" i="52"/>
  <c r="G21" i="48"/>
  <c r="I19" i="46"/>
  <c r="I18" i="46"/>
  <c r="AF17" i="45"/>
  <c r="AE17" i="45"/>
  <c r="Q18" i="56"/>
  <c r="V19" i="56"/>
  <c r="U19" i="56"/>
  <c r="L18" i="56"/>
  <c r="L21" i="56" s="1"/>
  <c r="I21" i="56"/>
  <c r="J21" i="56"/>
  <c r="X19" i="56"/>
  <c r="S18" i="56"/>
  <c r="S21" i="56" s="1"/>
  <c r="AB21" i="56"/>
  <c r="T19" i="56"/>
  <c r="R18" i="56"/>
  <c r="R21" i="56" s="1"/>
  <c r="U17" i="56"/>
  <c r="Y17" i="56"/>
  <c r="P21" i="56"/>
  <c r="K18" i="57"/>
  <c r="K21" i="57" s="1"/>
  <c r="AE21" i="48"/>
  <c r="C21" i="55"/>
  <c r="Q18" i="55"/>
  <c r="Q21" i="55" s="1"/>
  <c r="R21" i="55"/>
  <c r="E21" i="55"/>
  <c r="W19" i="55"/>
  <c r="D19" i="57"/>
  <c r="L19" i="57"/>
  <c r="L21" i="57" s="1"/>
  <c r="Z19" i="45"/>
  <c r="T18" i="46"/>
  <c r="T21" i="46" s="1"/>
  <c r="V18" i="46"/>
  <c r="V21" i="46" s="1"/>
  <c r="U18" i="46"/>
  <c r="U21" i="46" s="1"/>
  <c r="V18" i="54"/>
  <c r="V21" i="54" s="1"/>
  <c r="M21" i="48"/>
  <c r="N21" i="48"/>
  <c r="J21" i="57"/>
  <c r="Y18" i="50"/>
  <c r="Y21" i="50" s="1"/>
  <c r="Z18" i="50"/>
  <c r="Z21" i="50" s="1"/>
  <c r="Z21" i="46"/>
  <c r="AB21" i="46"/>
  <c r="V18" i="56"/>
  <c r="AC21" i="57"/>
  <c r="Z21" i="57"/>
  <c r="M21" i="50"/>
  <c r="Y21" i="48"/>
  <c r="AC21" i="48"/>
  <c r="AD18" i="48"/>
  <c r="L18" i="46"/>
  <c r="L21" i="46" s="1"/>
  <c r="O18" i="46"/>
  <c r="O21" i="46" s="1"/>
  <c r="N18" i="46"/>
  <c r="N21" i="46" s="1"/>
  <c r="AA21" i="54"/>
  <c r="E21" i="54"/>
  <c r="AF21" i="55"/>
  <c r="X21" i="54"/>
  <c r="N21" i="55"/>
  <c r="AD21" i="55"/>
  <c r="O21" i="55"/>
  <c r="M21" i="55"/>
  <c r="Y21" i="54"/>
  <c r="P21" i="55"/>
  <c r="Z21" i="47"/>
  <c r="D18" i="54"/>
  <c r="D21" i="54" s="1"/>
  <c r="M17" i="54"/>
  <c r="W18" i="55"/>
  <c r="R18" i="54"/>
  <c r="X18" i="55"/>
  <c r="X21" i="55" s="1"/>
  <c r="AC17" i="55"/>
  <c r="AE18" i="55"/>
  <c r="W18" i="56"/>
  <c r="AB18" i="54"/>
  <c r="AB21" i="54" s="1"/>
  <c r="E19" i="47"/>
  <c r="E21" i="47" s="1"/>
  <c r="AC18" i="54"/>
  <c r="AC21" i="54" s="1"/>
  <c r="S18" i="54"/>
  <c r="S21" i="54" s="1"/>
  <c r="D18" i="55"/>
  <c r="D21" i="55" s="1"/>
  <c r="G18" i="55"/>
  <c r="Y18" i="55"/>
  <c r="Y21" i="55" s="1"/>
  <c r="P18" i="54"/>
  <c r="P21" i="54" s="1"/>
  <c r="AF21" i="54"/>
  <c r="AE21" i="54"/>
  <c r="S19" i="54"/>
  <c r="F18" i="55"/>
  <c r="F21" i="55" s="1"/>
  <c r="I18" i="55"/>
  <c r="I21" i="55" s="1"/>
  <c r="S21" i="48"/>
  <c r="W21" i="47"/>
  <c r="R17" i="54"/>
  <c r="T19" i="54"/>
  <c r="T21" i="54" s="1"/>
  <c r="U19" i="55"/>
  <c r="O21" i="57"/>
  <c r="AD18" i="54"/>
  <c r="AD21" i="54" s="1"/>
  <c r="Z21" i="55"/>
  <c r="U19" i="54"/>
  <c r="W18" i="54"/>
  <c r="L17" i="55"/>
  <c r="L21" i="55" s="1"/>
  <c r="F19" i="55"/>
  <c r="Z19" i="55"/>
  <c r="G21" i="50"/>
  <c r="N21" i="50"/>
  <c r="Q21" i="50"/>
  <c r="S21" i="50"/>
  <c r="X21" i="50"/>
  <c r="AF21" i="50"/>
  <c r="C18" i="50"/>
  <c r="C21" i="50" s="1"/>
  <c r="I18" i="50"/>
  <c r="H18" i="50"/>
  <c r="H21" i="50" s="1"/>
  <c r="P18" i="50"/>
  <c r="P21" i="50" s="1"/>
  <c r="AD21" i="50"/>
  <c r="AE21" i="50"/>
  <c r="W21" i="54"/>
  <c r="X18" i="56"/>
  <c r="X21" i="56" s="1"/>
  <c r="Y18" i="56"/>
  <c r="Y21" i="56" s="1"/>
  <c r="AD18" i="56"/>
  <c r="AD21" i="56" s="1"/>
  <c r="AE18" i="56"/>
  <c r="AE21" i="56" s="1"/>
  <c r="AG18" i="56"/>
  <c r="AF21" i="56"/>
  <c r="AC21" i="56"/>
  <c r="T19" i="55"/>
  <c r="J18" i="54"/>
  <c r="K19" i="46"/>
  <c r="D18" i="57"/>
  <c r="D21" i="57" s="1"/>
  <c r="E18" i="57"/>
  <c r="E21" i="57" s="1"/>
  <c r="T18" i="55"/>
  <c r="U18" i="55"/>
  <c r="V18" i="55"/>
  <c r="V21" i="55" s="1"/>
  <c r="K17" i="45"/>
  <c r="L18" i="45"/>
  <c r="M18" i="49"/>
  <c r="AB21" i="49"/>
  <c r="Q18" i="49"/>
  <c r="Q21" i="49" s="1"/>
  <c r="N19" i="49"/>
  <c r="N21" i="49" s="1"/>
  <c r="X18" i="49"/>
  <c r="X21" i="49" s="1"/>
  <c r="W21" i="49"/>
  <c r="AE21" i="49"/>
  <c r="AC21" i="49"/>
  <c r="AD21" i="49"/>
  <c r="M17" i="45"/>
  <c r="L17" i="45"/>
  <c r="Z17" i="45"/>
  <c r="X17" i="45"/>
  <c r="AC18" i="45"/>
  <c r="AB18" i="45"/>
  <c r="Y21" i="47"/>
  <c r="E21" i="48"/>
  <c r="F21" i="48"/>
  <c r="AD21" i="48"/>
  <c r="T21" i="48"/>
  <c r="I17" i="49"/>
  <c r="J17" i="49"/>
  <c r="X21" i="47"/>
  <c r="C16" i="52"/>
  <c r="AC21" i="52"/>
  <c r="AF21" i="48"/>
  <c r="S17" i="49"/>
  <c r="T17" i="49"/>
  <c r="C21" i="49"/>
  <c r="C21" i="46"/>
  <c r="G18" i="46"/>
  <c r="G21" i="46" s="1"/>
  <c r="H18" i="46"/>
  <c r="F17" i="46"/>
  <c r="E19" i="46"/>
  <c r="J18" i="46"/>
  <c r="J21" i="46" s="1"/>
  <c r="U18" i="49"/>
  <c r="U21" i="49" s="1"/>
  <c r="T18" i="49"/>
  <c r="P21" i="57"/>
  <c r="L17" i="54"/>
  <c r="L21" i="54" s="1"/>
  <c r="J17" i="54"/>
  <c r="J21" i="54" s="1"/>
  <c r="K17" i="54"/>
  <c r="K21" i="54" s="1"/>
  <c r="Q18" i="54"/>
  <c r="Q21" i="54" s="1"/>
  <c r="Y19" i="45"/>
  <c r="M18" i="46"/>
  <c r="F18" i="46"/>
  <c r="D18" i="46"/>
  <c r="D21" i="46" s="1"/>
  <c r="K18" i="46"/>
  <c r="F19" i="45"/>
  <c r="I19" i="45"/>
  <c r="C18" i="45"/>
  <c r="K21" i="44"/>
  <c r="I21" i="44"/>
  <c r="F21" i="44"/>
  <c r="M21" i="44"/>
  <c r="AC21" i="44"/>
  <c r="J21" i="44"/>
  <c r="T21" i="44"/>
  <c r="E21" i="44"/>
  <c r="G21" i="44"/>
  <c r="L21" i="44"/>
  <c r="D21" i="44"/>
  <c r="N21" i="44"/>
  <c r="Y21" i="44"/>
  <c r="AA21" i="44"/>
  <c r="AB19" i="44"/>
  <c r="P19" i="46"/>
  <c r="AG21" i="56"/>
  <c r="Z21" i="56"/>
  <c r="D21" i="47"/>
  <c r="G18" i="54"/>
  <c r="G21" i="54" s="1"/>
  <c r="H18" i="54"/>
  <c r="H21" i="54" s="1"/>
  <c r="I18" i="54"/>
  <c r="I21" i="54" s="1"/>
  <c r="H18" i="57"/>
  <c r="H21" i="57" s="1"/>
  <c r="H21" i="47"/>
  <c r="G17" i="45"/>
  <c r="E17" i="45"/>
  <c r="T18" i="45"/>
  <c r="J21" i="47"/>
  <c r="M18" i="54"/>
  <c r="N18" i="54"/>
  <c r="N21" i="54" s="1"/>
  <c r="E18" i="45"/>
  <c r="E19" i="45"/>
  <c r="E21" i="45" s="1"/>
  <c r="W17" i="56"/>
  <c r="AA19" i="55"/>
  <c r="AA21" i="55" s="1"/>
  <c r="J21" i="55"/>
  <c r="K21" i="55"/>
  <c r="H18" i="55"/>
  <c r="H21" i="55" s="1"/>
  <c r="E18" i="46"/>
  <c r="E21" i="46" s="1"/>
  <c r="D19" i="45"/>
  <c r="D21" i="45" s="1"/>
  <c r="H19" i="45"/>
  <c r="H17" i="45"/>
  <c r="AE19" i="45"/>
  <c r="AD19" i="45"/>
  <c r="W19" i="45"/>
  <c r="O19" i="45"/>
  <c r="N19" i="45"/>
  <c r="AD18" i="45"/>
  <c r="AA18" i="45"/>
  <c r="AF19" i="45"/>
  <c r="AB19" i="45"/>
  <c r="X19" i="45"/>
  <c r="S19" i="45"/>
  <c r="R19" i="45"/>
  <c r="Q19" i="45"/>
  <c r="AC19" i="45"/>
  <c r="U19" i="45"/>
  <c r="L19" i="45"/>
  <c r="AD17" i="45"/>
  <c r="AC17" i="45"/>
  <c r="V17" i="45"/>
  <c r="U17" i="45"/>
  <c r="T17" i="45"/>
  <c r="S17" i="45"/>
  <c r="Q17" i="45"/>
  <c r="N17" i="45"/>
  <c r="I17" i="45"/>
  <c r="AE18" i="45"/>
  <c r="X18" i="45"/>
  <c r="F18" i="45"/>
  <c r="W18" i="45"/>
  <c r="AB21" i="44"/>
  <c r="Q18" i="45"/>
  <c r="S18" i="45"/>
  <c r="M21" i="56"/>
  <c r="V17" i="56"/>
  <c r="N21" i="56"/>
  <c r="O21" i="56"/>
  <c r="Q21" i="56"/>
  <c r="N18" i="45"/>
  <c r="Q19" i="46"/>
  <c r="R19" i="46"/>
  <c r="R21" i="46" s="1"/>
  <c r="AA19" i="45"/>
  <c r="M18" i="45"/>
  <c r="P19" i="45"/>
  <c r="V19" i="45"/>
  <c r="T19" i="45"/>
  <c r="G18" i="45"/>
  <c r="H18" i="45"/>
  <c r="Z18" i="45"/>
  <c r="Y18" i="45"/>
  <c r="C21" i="45"/>
  <c r="T18" i="56"/>
  <c r="T21" i="56" s="1"/>
  <c r="U18" i="56"/>
  <c r="M21" i="49"/>
  <c r="O21" i="49"/>
  <c r="C18" i="57"/>
  <c r="C21" i="57" s="1"/>
  <c r="F21" i="47"/>
  <c r="AE21" i="55"/>
  <c r="I18" i="45"/>
  <c r="J19" i="45"/>
  <c r="O18" i="45"/>
  <c r="P18" i="45"/>
  <c r="J18" i="45"/>
  <c r="K18" i="45"/>
  <c r="M19" i="45"/>
  <c r="K19" i="45"/>
  <c r="V18" i="45"/>
  <c r="U18" i="45"/>
  <c r="R18" i="45"/>
  <c r="O21" i="48"/>
  <c r="H21" i="51"/>
  <c r="C16" i="51"/>
  <c r="AC18" i="50"/>
  <c r="AC21" i="50" s="1"/>
  <c r="O21" i="54"/>
  <c r="AG19" i="45"/>
  <c r="G21" i="55"/>
  <c r="AB17" i="45"/>
  <c r="AA17" i="45"/>
  <c r="Q21" i="44"/>
  <c r="Z19" i="44"/>
  <c r="Z21" i="44" s="1"/>
  <c r="R19" i="44"/>
  <c r="R21" i="44" s="1"/>
  <c r="R17" i="44"/>
  <c r="P17" i="44"/>
  <c r="O17" i="44"/>
  <c r="AD18" i="44"/>
  <c r="AD21" i="44" s="1"/>
  <c r="S18" i="44"/>
  <c r="S21" i="44" s="1"/>
  <c r="V18" i="44"/>
  <c r="V21" i="44" s="1"/>
  <c r="U18" i="44"/>
  <c r="U21" i="44" s="1"/>
  <c r="W21" i="44"/>
  <c r="AF18" i="45"/>
  <c r="AG18" i="45"/>
  <c r="Z21" i="49"/>
  <c r="Y21" i="49"/>
  <c r="F21" i="56"/>
  <c r="P21" i="49"/>
  <c r="C16" i="48"/>
  <c r="P21" i="44"/>
  <c r="R21" i="49"/>
  <c r="S21" i="49"/>
  <c r="J21" i="49"/>
  <c r="S18" i="57"/>
  <c r="S21" i="57" s="1"/>
  <c r="T18" i="57"/>
  <c r="T21" i="57" s="1"/>
  <c r="U21" i="57"/>
  <c r="V21" i="57"/>
  <c r="O21" i="44"/>
  <c r="I18" i="49"/>
  <c r="I21" i="49" s="1"/>
  <c r="E21" i="56"/>
  <c r="AC21" i="55"/>
  <c r="I21" i="50"/>
  <c r="K21" i="47" l="1"/>
  <c r="P21" i="46"/>
  <c r="M21" i="46"/>
  <c r="I21" i="46"/>
  <c r="U21" i="56"/>
  <c r="Q21" i="46"/>
  <c r="Z21" i="45"/>
  <c r="R21" i="54"/>
  <c r="H21" i="46"/>
  <c r="W21" i="56"/>
  <c r="U21" i="55"/>
  <c r="W21" i="55"/>
  <c r="T21" i="55"/>
  <c r="X21" i="45"/>
  <c r="C16" i="56"/>
  <c r="F21" i="46"/>
  <c r="C16" i="47"/>
  <c r="M21" i="54"/>
  <c r="K21" i="46"/>
  <c r="H21" i="45"/>
  <c r="L21" i="45"/>
  <c r="M21" i="45"/>
  <c r="T21" i="49"/>
  <c r="S21" i="45"/>
  <c r="AB21" i="45"/>
  <c r="U21" i="45"/>
  <c r="J21" i="45"/>
  <c r="Q21" i="45"/>
  <c r="F21" i="45"/>
  <c r="G21" i="45"/>
  <c r="Y21" i="45"/>
  <c r="C16" i="46"/>
  <c r="R21" i="45"/>
  <c r="O21" i="45"/>
  <c r="N21" i="45"/>
  <c r="C16" i="44"/>
  <c r="AD21" i="45"/>
  <c r="W21" i="45"/>
  <c r="C16" i="54"/>
  <c r="AE21" i="45"/>
  <c r="AC21" i="45"/>
  <c r="AF21" i="45"/>
  <c r="V21" i="56"/>
  <c r="C16" i="55"/>
  <c r="T21" i="45"/>
  <c r="I21" i="45"/>
  <c r="AA21" i="45"/>
  <c r="AG21" i="45"/>
  <c r="P21" i="45"/>
  <c r="V21" i="45"/>
  <c r="C16" i="45"/>
  <c r="C16" i="57"/>
  <c r="K21" i="45"/>
  <c r="C16" i="50"/>
  <c r="C16" i="49"/>
  <c r="J24" i="43"/>
  <c r="J24" i="43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Chaiwat Thepjun</author>
  </authors>
  <commentList>
    <comment ref="E7" authorId="0" shapeId="0" xr:uid="{D61B8CB6-FEDF-4847-947D-1B764D5E278C}">
      <text>
        <r>
          <rPr>
            <b/>
            <sz val="20"/>
            <color indexed="81"/>
            <rFont val="Tahoma"/>
            <family val="2"/>
          </rPr>
          <t xml:space="preserve">Fixed Valve Room </t>
        </r>
      </text>
    </comment>
    <comment ref="I9" authorId="0" shapeId="0" xr:uid="{46CED6EC-7228-4CFC-8390-4C172772C6F9}">
      <text>
        <r>
          <rPr>
            <b/>
            <sz val="18"/>
            <color indexed="81"/>
            <rFont val="Tahoma"/>
            <family val="2"/>
          </rPr>
          <t>Cancellation  from 6 nights</t>
        </r>
        <r>
          <rPr>
            <sz val="1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Chaiwat Thepjun</author>
  </authors>
  <commentList>
    <comment ref="D15" authorId="0" shapeId="0" xr:uid="{ABC99935-79B0-42F0-968E-CAA8B8947868}">
      <text>
        <r>
          <rPr>
            <b/>
            <sz val="16"/>
            <color indexed="81"/>
            <rFont val="Tahoma"/>
            <family val="2"/>
          </rPr>
          <t>ย้ายไป Roseate 3 คืน 2,3,4</t>
        </r>
        <r>
          <rPr>
            <sz val="16"/>
            <color indexed="81"/>
            <rFont val="Tahoma"/>
            <family val="2"/>
          </rPr>
          <t xml:space="preserve">
 จ่าย 4,200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<sst xmlns="http://schemas.openxmlformats.org/spreadsheetml/2006/main" count="1804" uniqueCount="877">
  <si>
    <t>Room</t>
  </si>
  <si>
    <t>Type</t>
  </si>
  <si>
    <t>Sat</t>
  </si>
  <si>
    <t>Sun</t>
  </si>
  <si>
    <t>Mon</t>
  </si>
  <si>
    <t>Tue</t>
  </si>
  <si>
    <t>Wed</t>
  </si>
  <si>
    <t>Thu</t>
  </si>
  <si>
    <t>Fri</t>
  </si>
  <si>
    <t>Single</t>
  </si>
  <si>
    <t>Ruben Strik  2 rooms</t>
  </si>
  <si>
    <t>Rebecca Blanche</t>
  </si>
  <si>
    <t>Korel Mikail Yolcu</t>
  </si>
  <si>
    <t>Lijana Vespenderiene  จำนวน 2 ห้อง DD/SD</t>
  </si>
  <si>
    <t xml:space="preserve">Viktorija Risteska </t>
  </si>
  <si>
    <t>Marina Keller</t>
  </si>
  <si>
    <t>Davy Gauci</t>
  </si>
  <si>
    <t xml:space="preserve">Ophelia Ooi </t>
  </si>
  <si>
    <t>Nick McCafferty</t>
  </si>
  <si>
    <t>Sven Erich Szymaniak</t>
  </si>
  <si>
    <t>Rodrigo Francisco Pereira Leite</t>
  </si>
  <si>
    <t>Rune Klima Olsen</t>
  </si>
  <si>
    <t>Welmoed Bouma</t>
  </si>
  <si>
    <t>André Reichelt</t>
  </si>
  <si>
    <t>Gustavo Guimaraes Morato Abreu</t>
  </si>
  <si>
    <t>Alba Canto 3 room</t>
  </si>
  <si>
    <t>David Matten</t>
  </si>
  <si>
    <t>nicola feller</t>
  </si>
  <si>
    <t>Chang-An Wang</t>
  </si>
  <si>
    <t>Single Queen</t>
  </si>
  <si>
    <t xml:space="preserve">Josh Elliott </t>
  </si>
  <si>
    <t>Mikayla Scells</t>
  </si>
  <si>
    <t>Felix Luenzer  19:00 - 20:00</t>
  </si>
  <si>
    <t>Sarah Simon</t>
  </si>
  <si>
    <t>Karolina Bełdzińska-Gądek</t>
  </si>
  <si>
    <t>Monica Sacchiero</t>
  </si>
  <si>
    <t>Felix Luenzer</t>
  </si>
  <si>
    <t>Twin Bed</t>
  </si>
  <si>
    <t>Nikol Ziukina</t>
  </si>
  <si>
    <t>Bruce Locke</t>
  </si>
  <si>
    <t>Kirsten Lee</t>
  </si>
  <si>
    <r>
      <t xml:space="preserve">Gwenllian Jones / </t>
    </r>
    <r>
      <rPr>
        <b/>
        <u/>
        <sz val="20"/>
        <color rgb="FFFF0000"/>
        <rFont val="Tahoma"/>
        <family val="2"/>
      </rPr>
      <t>Make to King Size Bed</t>
    </r>
  </si>
  <si>
    <t>YI YUN CHEN 5:00 PM ถึง 6:00 PM</t>
  </si>
  <si>
    <t>ฟาง</t>
  </si>
  <si>
    <t>Elise Kerckhofs</t>
  </si>
  <si>
    <t>Olga Wilk</t>
  </si>
  <si>
    <r>
      <rPr>
        <b/>
        <u/>
        <sz val="16"/>
        <color rgb="FF000000"/>
        <rFont val="Tahoma"/>
        <family val="2"/>
      </rPr>
      <t>Shaun Blum</t>
    </r>
    <r>
      <rPr>
        <b/>
        <u/>
        <sz val="16"/>
        <color rgb="FFFFFFFF"/>
        <rFont val="Tahoma"/>
        <family val="2"/>
      </rPr>
      <t xml:space="preserve"> </t>
    </r>
    <r>
      <rPr>
        <b/>
        <u/>
        <sz val="16"/>
        <color rgb="FFFF0000"/>
        <rFont val="Tahoma"/>
        <family val="2"/>
      </rPr>
      <t>upgrade TWIN-&gt;SUITE</t>
    </r>
  </si>
  <si>
    <t>raphael lesca</t>
  </si>
  <si>
    <t>Valotaire franckie / Requested 10:00</t>
  </si>
  <si>
    <r>
      <rPr>
        <b/>
        <sz val="18"/>
        <color rgb="FF000000"/>
        <rFont val="Tahoma"/>
        <family val="2"/>
      </rPr>
      <t xml:space="preserve">Extend 1,000 </t>
    </r>
    <r>
      <rPr>
        <b/>
        <sz val="18"/>
        <color rgb="FFFF0000"/>
        <rFont val="Tahoma"/>
        <family val="2"/>
      </rPr>
      <t>(Paid)</t>
    </r>
  </si>
  <si>
    <t>Aksa Papilaja</t>
  </si>
  <si>
    <t>Ursula Kämpfer</t>
  </si>
  <si>
    <t>Kamolchai</t>
  </si>
  <si>
    <t>Tiago Emanuel Pereira Nunes 12:00 PM ถึง 1:00 PM</t>
  </si>
  <si>
    <t>雅晴 張</t>
  </si>
  <si>
    <t>Lotte Seinen</t>
  </si>
  <si>
    <t>Pedro Biagi de Almeida</t>
  </si>
  <si>
    <t>Vyet Voppen</t>
  </si>
  <si>
    <t>Callie Currier</t>
  </si>
  <si>
    <t>Brendan Dunn</t>
  </si>
  <si>
    <r>
      <t xml:space="preserve">Jasmin Andersson / </t>
    </r>
    <r>
      <rPr>
        <b/>
        <sz val="20"/>
        <color rgb="FFFF0000"/>
        <rFont val="Tahoma"/>
        <family val="2"/>
      </rPr>
      <t>Need Window</t>
    </r>
  </si>
  <si>
    <t>Mara van Tiggelen</t>
  </si>
  <si>
    <t>JIN, YURIM</t>
  </si>
  <si>
    <t>Tia Pietrek</t>
  </si>
  <si>
    <t>Ting Yi Shen</t>
  </si>
  <si>
    <t>Jennifer Mason</t>
  </si>
  <si>
    <t>Htet Myat Aung</t>
  </si>
  <si>
    <t>Khun Alice 1000x3</t>
  </si>
  <si>
    <t>Jean-Baptiste Druet</t>
  </si>
  <si>
    <t>Maren Pietzonka</t>
  </si>
  <si>
    <r>
      <rPr>
        <b/>
        <sz val="16"/>
        <color rgb="FF000000"/>
        <rFont val="Tahoma"/>
        <family val="2"/>
      </rPr>
      <t xml:space="preserve">Lee Yee Dian </t>
    </r>
    <r>
      <rPr>
        <b/>
        <sz val="16"/>
        <color rgb="FFFF0000"/>
        <rFont val="Tahoma"/>
        <family val="2"/>
      </rPr>
      <t>(4 room same group)</t>
    </r>
  </si>
  <si>
    <t>Campbell Azrielle</t>
  </si>
  <si>
    <t>Grzegorz Hołod</t>
  </si>
  <si>
    <t>Laura Udri</t>
  </si>
  <si>
    <t>Charlotte Wicht</t>
  </si>
  <si>
    <t>Moira Smets  4:00 PM- 5:00 PM</t>
  </si>
  <si>
    <t>James Clothier</t>
  </si>
  <si>
    <r>
      <rPr>
        <b/>
        <sz val="16"/>
        <color rgb="FF000000"/>
        <rFont val="Tahoma"/>
        <family val="2"/>
      </rPr>
      <t>Lee Fun Thoo
เตียงเดียว</t>
    </r>
    <r>
      <rPr>
        <b/>
        <sz val="16"/>
        <color rgb="FFFF0000"/>
        <rFont val="Tahoma"/>
        <family val="2"/>
      </rPr>
      <t xml:space="preserve"> (4 room same group)</t>
    </r>
  </si>
  <si>
    <t>Daniel Bernardes</t>
  </si>
  <si>
    <t xml:space="preserve">Daniel อยู่เพิ่ม 900 </t>
  </si>
  <si>
    <t>Raphaël Egeley</t>
  </si>
  <si>
    <t>Yanizel Llorent</t>
  </si>
  <si>
    <t>Fer Rodriguez</t>
  </si>
  <si>
    <t>Hanna Kalchschmid</t>
  </si>
  <si>
    <t xml:space="preserve">Irene Hervás </t>
  </si>
  <si>
    <t>Galina Bashurova</t>
  </si>
  <si>
    <t>merve taskan / 8:00 AM ถึง 9:00 AM</t>
  </si>
  <si>
    <t>Kanat Tabaldiev</t>
  </si>
  <si>
    <t>Marlotte Jansen</t>
  </si>
  <si>
    <t>Pospawin Chinpeerasatian</t>
  </si>
  <si>
    <t>Angel Espejo</t>
  </si>
  <si>
    <t>Ricardo Coelho</t>
  </si>
  <si>
    <t xml:space="preserve">Niklas Savijoki </t>
  </si>
  <si>
    <t>Su Yadanar Kyaw</t>
  </si>
  <si>
    <t xml:space="preserve">Marie Plankensteiner </t>
  </si>
  <si>
    <r>
      <rPr>
        <b/>
        <sz val="16"/>
        <color rgb="FF000000"/>
        <rFont val="Tahoma"/>
        <family val="2"/>
      </rPr>
      <t xml:space="preserve">Yong Chai Fung </t>
    </r>
    <r>
      <rPr>
        <b/>
        <sz val="16"/>
        <color rgb="FFFF0000"/>
        <rFont val="Tahoma"/>
        <family val="2"/>
      </rPr>
      <t>(4 room same group)</t>
    </r>
  </si>
  <si>
    <t>Denisa Mensatorisová</t>
  </si>
  <si>
    <t>Albertas Gustis</t>
  </si>
  <si>
    <t>Sino Piroty-Dehbokry</t>
  </si>
  <si>
    <t>Christine Nelson</t>
  </si>
  <si>
    <t>Wekoweu Tsuha</t>
  </si>
  <si>
    <t>Jose Castro</t>
  </si>
  <si>
    <t>Cathy Kao</t>
  </si>
  <si>
    <t>Beatriz Canelas de Oliveira</t>
  </si>
  <si>
    <t>Wojciech Zdeb</t>
  </si>
  <si>
    <r>
      <rPr>
        <b/>
        <sz val="16"/>
        <color rgb="FF000000"/>
        <rFont val="Tahoma"/>
        <family val="2"/>
      </rPr>
      <t xml:space="preserve">Lee Fun Thoo
เตียงเดียว </t>
    </r>
    <r>
      <rPr>
        <b/>
        <sz val="16"/>
        <color rgb="FFFF0000"/>
        <rFont val="Tahoma"/>
        <family val="2"/>
      </rPr>
      <t>(4 room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FF0000"/>
        <rFont val="Tahoma"/>
        <family val="2"/>
      </rPr>
      <t>same group)</t>
    </r>
  </si>
  <si>
    <t>Paola Andrea Vega Vega Otero</t>
  </si>
  <si>
    <t>Klages Debi</t>
  </si>
  <si>
    <t>Carlos Alberto Franco Perez</t>
  </si>
  <si>
    <t>Angela Ngan</t>
  </si>
  <si>
    <t>Aleksandra Kreczmańska</t>
  </si>
  <si>
    <t>Suite</t>
  </si>
  <si>
    <t>Honeymoon</t>
  </si>
  <si>
    <t>Stephanie Scuorzo</t>
  </si>
  <si>
    <t>Christoph Gallowitsch / 15:00-16:00</t>
  </si>
  <si>
    <t>Megan Park</t>
  </si>
  <si>
    <t>DAHAE KIM</t>
  </si>
  <si>
    <t xml:space="preserve">Hendrik Esselink </t>
  </si>
  <si>
    <t xml:space="preserve">Felix Luenzer </t>
  </si>
  <si>
    <t>Wojciech Janczuk</t>
  </si>
  <si>
    <t>Tamara Tubic</t>
  </si>
  <si>
    <t>Superiroe</t>
  </si>
  <si>
    <t>Deluxe Double</t>
  </si>
  <si>
    <t>DeluxeTwin</t>
  </si>
  <si>
    <t>Honeymoon Suite</t>
  </si>
  <si>
    <t>Silja Glismann</t>
  </si>
  <si>
    <t>Cornelis Jan Van Ekris</t>
  </si>
  <si>
    <t>April Russum</t>
  </si>
  <si>
    <t>Michael Dawson</t>
  </si>
  <si>
    <t>Xiaoning CAI</t>
  </si>
  <si>
    <r>
      <rPr>
        <b/>
        <sz val="16"/>
        <color rgb="FF000000"/>
        <rFont val="Tahoma"/>
        <family val="2"/>
      </rPr>
      <t xml:space="preserve">MARCO MASSI 
</t>
    </r>
    <r>
      <rPr>
        <b/>
        <sz val="16"/>
        <color rgb="FFFF0000"/>
        <rFont val="Tahoma"/>
        <family val="2"/>
      </rPr>
      <t>10:00 - 11:00</t>
    </r>
  </si>
  <si>
    <t>Dominic O’Malley</t>
  </si>
  <si>
    <t>Olivia Baumann</t>
  </si>
  <si>
    <t>Enrique Gonzalez Nieto</t>
  </si>
  <si>
    <r>
      <rPr>
        <b/>
        <sz val="18"/>
        <color rgb="FF000000"/>
        <rFont val="Arial"/>
        <family val="2"/>
      </rPr>
      <t xml:space="preserve">sabrine laribi </t>
    </r>
    <r>
      <rPr>
        <b/>
        <sz val="18"/>
        <color rgb="FFFF0000"/>
        <rFont val="Arial"/>
        <family val="2"/>
      </rPr>
      <t xml:space="preserve">18:00 - 19:00 </t>
    </r>
  </si>
  <si>
    <t xml:space="preserve">Di Giovacchino Luana  / Day Trip Chiang Rai </t>
  </si>
  <si>
    <t>Diego Varoli Piazza</t>
  </si>
  <si>
    <r>
      <rPr>
        <b/>
        <sz val="16"/>
        <color rgb="FF000000"/>
        <rFont val="Tahoma"/>
        <family val="2"/>
      </rPr>
      <t xml:space="preserve">Alison Yao </t>
    </r>
    <r>
      <rPr>
        <b/>
        <sz val="16"/>
        <color rgb="FFFF0000"/>
        <rFont val="Tahoma"/>
        <family val="2"/>
      </rPr>
      <t>Sdx1, DTx1</t>
    </r>
  </si>
  <si>
    <r>
      <t xml:space="preserve">Elizabeth Lee / </t>
    </r>
    <r>
      <rPr>
        <b/>
        <sz val="16"/>
        <color rgb="FFFF0000"/>
        <rFont val="Tahoma"/>
        <family val="2"/>
      </rPr>
      <t xml:space="preserve"> knee injury. </t>
    </r>
  </si>
  <si>
    <t>Vanessa Wander</t>
  </si>
  <si>
    <t xml:space="preserve">Eszter Kovacs </t>
  </si>
  <si>
    <t>Elizabeth Le</t>
  </si>
  <si>
    <t>Ronan Butler</t>
  </si>
  <si>
    <t>Alexander Brune</t>
  </si>
  <si>
    <r>
      <rPr>
        <b/>
        <sz val="16"/>
        <color rgb="FF000000"/>
        <rFont val="Tahoma"/>
        <family val="2"/>
      </rPr>
      <t xml:space="preserve">Vincent Sitwell </t>
    </r>
    <r>
      <rPr>
        <b/>
        <sz val="16"/>
        <color rgb="FFFF0000"/>
        <rFont val="Tahoma"/>
        <family val="2"/>
      </rPr>
      <t>จำนวน 2 ห้อง</t>
    </r>
  </si>
  <si>
    <t>YihuiChi</t>
  </si>
  <si>
    <t>Marina Pitterich</t>
  </si>
  <si>
    <r>
      <rPr>
        <b/>
        <sz val="16"/>
        <color rgb="FF000000"/>
        <rFont val="Tahoma"/>
        <family val="2"/>
      </rPr>
      <t>Bille Tierney</t>
    </r>
    <r>
      <rPr>
        <b/>
        <sz val="16"/>
        <color rgb="FFFF0000"/>
        <rFont val="Tahoma"/>
        <family val="2"/>
      </rPr>
      <t xml:space="preserve"> (3:00-4:00PM)</t>
    </r>
  </si>
  <si>
    <t>Mario Díaz García</t>
  </si>
  <si>
    <t xml:space="preserve">Ivana Osičková </t>
  </si>
  <si>
    <t>Kohei Akiyama</t>
  </si>
  <si>
    <t>Haichen` Huang</t>
  </si>
  <si>
    <t>Laila Benani</t>
  </si>
  <si>
    <t>Buddy Wijesekara</t>
  </si>
  <si>
    <t>Tal Nahoom</t>
  </si>
  <si>
    <r>
      <t>Julian Schmidberger</t>
    </r>
    <r>
      <rPr>
        <b/>
        <sz val="16"/>
        <color rgb="FFFF0000"/>
        <rFont val="Tahoma"/>
        <family val="2"/>
      </rPr>
      <t xml:space="preserve">  มารถไฟถึงเช้า </t>
    </r>
  </si>
  <si>
    <t>Arnaud Moulas</t>
  </si>
  <si>
    <t>Karoly Karakas</t>
  </si>
  <si>
    <t>Freidhof Serena</t>
  </si>
  <si>
    <t>Hasan Turalic</t>
  </si>
  <si>
    <t>Hay Mar Hlaing</t>
  </si>
  <si>
    <t>Joanna Wieczorek</t>
  </si>
  <si>
    <t>Louise Johansson</t>
  </si>
  <si>
    <t>jani Silva</t>
  </si>
  <si>
    <t>Chidchanok Promraksa</t>
  </si>
  <si>
    <r>
      <t xml:space="preserve">Antonino Borgese / </t>
    </r>
    <r>
      <rPr>
        <b/>
        <sz val="16"/>
        <color rgb="FFFF0000"/>
        <rFont val="Tahoma"/>
        <family val="2"/>
      </rPr>
      <t>noise complaint</t>
    </r>
  </si>
  <si>
    <t xml:space="preserve">Batikan Koleoglu </t>
  </si>
  <si>
    <t>Emma Venuat</t>
  </si>
  <si>
    <t xml:space="preserve">Ourania Vourvachaki </t>
  </si>
  <si>
    <t>kanthamanee waenvised</t>
  </si>
  <si>
    <t>soufiane lemrani</t>
  </si>
  <si>
    <t>Carmel Ball</t>
  </si>
  <si>
    <t>Anna Schroeder</t>
  </si>
  <si>
    <t>shannon riches</t>
  </si>
  <si>
    <r>
      <rPr>
        <b/>
        <sz val="16"/>
        <color rgb="FF000000"/>
        <rFont val="Tahoma"/>
        <family val="2"/>
      </rPr>
      <t xml:space="preserve">Ilena Maslac </t>
    </r>
    <r>
      <rPr>
        <b/>
        <sz val="16"/>
        <color rgb="FFFF0000"/>
        <rFont val="Tahoma"/>
        <family val="2"/>
      </rPr>
      <t>ถึงเที่ยงคืน 23:00-00:00</t>
    </r>
  </si>
  <si>
    <t>Daniele Carati</t>
  </si>
  <si>
    <r>
      <rPr>
        <b/>
        <sz val="16"/>
        <color rgb="FF000000"/>
        <rFont val="Tahoma"/>
        <family val="2"/>
      </rPr>
      <t xml:space="preserve">Florence MARCÉ  ชั้นสูง </t>
    </r>
    <r>
      <rPr>
        <b/>
        <sz val="16"/>
        <color rgb="FFFF0000"/>
        <rFont val="Tahoma"/>
        <family val="2"/>
      </rPr>
      <t>3:00 PM ถึง 4:00 PM</t>
    </r>
  </si>
  <si>
    <r>
      <t xml:space="preserve">Victoria Lago </t>
    </r>
    <r>
      <rPr>
        <b/>
        <sz val="16"/>
        <color rgb="FFFF0000"/>
        <rFont val="Tahoma"/>
        <family val="2"/>
      </rPr>
      <t>/ Check in 01:00 on 5/12/2025</t>
    </r>
  </si>
  <si>
    <t>Kati Liibak</t>
  </si>
  <si>
    <r>
      <rPr>
        <b/>
        <sz val="20"/>
        <color rgb="FF000000"/>
        <rFont val="Tahoma"/>
        <family val="2"/>
      </rPr>
      <t xml:space="preserve">Bo Bi </t>
    </r>
    <r>
      <rPr>
        <b/>
        <sz val="20"/>
        <color rgb="FFFF0000"/>
        <rFont val="Tahoma"/>
        <family val="2"/>
      </rPr>
      <t>21:00 - 22:00</t>
    </r>
  </si>
  <si>
    <r>
      <rPr>
        <b/>
        <sz val="16"/>
        <color rgb="FF000000"/>
        <rFont val="Tahoma"/>
        <family val="2"/>
      </rPr>
      <t xml:space="preserve">Magdalena Styczen  </t>
    </r>
    <r>
      <rPr>
        <b/>
        <sz val="16"/>
        <color rgb="FFFF0000"/>
        <rFont val="Tahoma"/>
        <family val="2"/>
      </rPr>
      <t>22:00-23:00</t>
    </r>
  </si>
  <si>
    <t>Iana Sizhazheva</t>
  </si>
  <si>
    <t xml:space="preserve">rong deng </t>
  </si>
  <si>
    <t>Lauren Minter</t>
  </si>
  <si>
    <t xml:space="preserve">Paul Trujillo </t>
  </si>
  <si>
    <t>Houjie Qiu  early check in 1,000</t>
  </si>
  <si>
    <t>Houjie Qiu</t>
  </si>
  <si>
    <t>Elodie Martin-laval</t>
  </si>
  <si>
    <t xml:space="preserve">Laura Davis </t>
  </si>
  <si>
    <t>Francois Dubois</t>
  </si>
  <si>
    <t>virginie proaskat</t>
  </si>
  <si>
    <t>Sofia Luis</t>
  </si>
  <si>
    <t xml:space="preserve">Sutthiphong Pannil </t>
  </si>
  <si>
    <t>Sofia Hevia</t>
  </si>
  <si>
    <t>JESUS RUBEN ROCHIN PARRA</t>
  </si>
  <si>
    <t>Jonathan Kantor</t>
  </si>
  <si>
    <r>
      <t xml:space="preserve">CHENG WEN LEE </t>
    </r>
    <r>
      <rPr>
        <b/>
        <sz val="16"/>
        <color rgb="FFFF0000"/>
        <rFont val="Tahoma"/>
        <family val="2"/>
      </rPr>
      <t>22:00 - 23:00</t>
    </r>
  </si>
  <si>
    <t>Xin Qiao</t>
  </si>
  <si>
    <r>
      <rPr>
        <b/>
        <sz val="16"/>
        <color rgb="FF000000"/>
        <rFont val="Tahoma"/>
        <family val="2"/>
      </rPr>
      <t xml:space="preserve">ERIKA MIYAJI </t>
    </r>
    <r>
      <rPr>
        <b/>
        <sz val="16"/>
        <color rgb="FFFF0000"/>
        <rFont val="Tahoma"/>
        <family val="2"/>
      </rPr>
      <t>10:00 PM ถึง 11:00 PM</t>
    </r>
  </si>
  <si>
    <r>
      <rPr>
        <b/>
        <sz val="16"/>
        <color rgb="FF000000"/>
        <rFont val="Tahoma"/>
        <family val="2"/>
      </rPr>
      <t xml:space="preserve">Lee Fun Thoo
เตียงเดียว </t>
    </r>
    <r>
      <rPr>
        <b/>
        <sz val="16"/>
        <color rgb="FFFF0000"/>
        <rFont val="Tahoma"/>
        <family val="2"/>
      </rPr>
      <t>(4 room same group)</t>
    </r>
  </si>
  <si>
    <t>David Carvajal del Pozo</t>
  </si>
  <si>
    <r>
      <rPr>
        <b/>
        <sz val="16"/>
        <color rgb="FF000000"/>
        <rFont val="Tahoma"/>
        <family val="2"/>
      </rPr>
      <t xml:space="preserve">Jack Howell </t>
    </r>
    <r>
      <rPr>
        <b/>
        <sz val="16"/>
        <color rgb="FFFF0000"/>
        <rFont val="Tahoma"/>
        <family val="2"/>
      </rPr>
      <t>11-12 pm</t>
    </r>
  </si>
  <si>
    <t>Fangzhou Liu</t>
  </si>
  <si>
    <t>Adrian Cabrejo Pinto</t>
  </si>
  <si>
    <t>Adam O’Donnell</t>
  </si>
  <si>
    <t>BY Bahroelim</t>
  </si>
  <si>
    <t>Strong Tracy</t>
  </si>
  <si>
    <t>Quang Dieu Hoang Le</t>
  </si>
  <si>
    <t>Dijana Duloric</t>
  </si>
  <si>
    <t>Pamela Liou</t>
  </si>
  <si>
    <t xml:space="preserve">Cristian GRIGORIU </t>
  </si>
  <si>
    <t>Isabel Louza</t>
  </si>
  <si>
    <t>Bibiana Eggenhofer</t>
  </si>
  <si>
    <r>
      <rPr>
        <b/>
        <sz val="16"/>
        <color rgb="FFFFFFFF"/>
        <rFont val="Tahoma"/>
        <family val="2"/>
      </rPr>
      <t xml:space="preserve">
</t>
    </r>
    <r>
      <rPr>
        <b/>
        <sz val="16"/>
        <color rgb="FF000000"/>
        <rFont val="Tahoma"/>
        <family val="2"/>
      </rPr>
      <t>Buddy Wijesekara</t>
    </r>
  </si>
  <si>
    <t>Camilla Ditz Vagner</t>
  </si>
  <si>
    <r>
      <t xml:space="preserve">Gizem Reimann </t>
    </r>
    <r>
      <rPr>
        <b/>
        <sz val="16"/>
        <color rgb="FFFF0000"/>
        <rFont val="Tahoma"/>
        <family val="2"/>
      </rPr>
      <t>ย้ายไป Roseate 3 คืน 2,3,4</t>
    </r>
  </si>
  <si>
    <t>พี่ปอ 2,400</t>
  </si>
  <si>
    <t>Steven Molter</t>
  </si>
  <si>
    <t>Jeanette Herb</t>
  </si>
  <si>
    <t>Patrick Lodes</t>
  </si>
  <si>
    <t>Michael Gertner</t>
  </si>
  <si>
    <t xml:space="preserve">Christophe Capeau </t>
  </si>
  <si>
    <t>JIE GAO</t>
  </si>
  <si>
    <t>MONTANA SINPRASERT</t>
  </si>
  <si>
    <r>
      <rPr>
        <b/>
        <sz val="20"/>
        <color rgb="FF000000"/>
        <rFont val="Tahoma"/>
        <family val="2"/>
      </rPr>
      <t xml:space="preserve">Viola Rotelli </t>
    </r>
    <r>
      <rPr>
        <b/>
        <sz val="20"/>
        <color rgb="FFFF0000"/>
        <rFont val="Tahoma"/>
        <family val="2"/>
      </rPr>
      <t>(2 room book)</t>
    </r>
  </si>
  <si>
    <t>Joel Van De Sluis</t>
  </si>
  <si>
    <t>Mikayla Rawluk</t>
  </si>
  <si>
    <t>Fanny Uhlin</t>
  </si>
  <si>
    <r>
      <rPr>
        <b/>
        <sz val="20"/>
        <color rgb="FF000000"/>
        <rFont val="Tahoma"/>
        <family val="2"/>
      </rPr>
      <t>Jan Meyer</t>
    </r>
    <r>
      <rPr>
        <b/>
        <sz val="20"/>
        <color rgb="FFFFFFFF"/>
        <rFont val="Tahoma"/>
        <family val="2"/>
      </rPr>
      <t xml:space="preserve"> </t>
    </r>
    <r>
      <rPr>
        <b/>
        <sz val="20"/>
        <color rgb="FFFF0000"/>
        <rFont val="Tahoma"/>
        <family val="2"/>
      </rPr>
      <t>( 2 room book )</t>
    </r>
  </si>
  <si>
    <r>
      <rPr>
        <b/>
        <sz val="18"/>
        <color rgb="FF000000"/>
        <rFont val="Tahoma"/>
        <family val="2"/>
      </rPr>
      <t>Abbey Killoran</t>
    </r>
    <r>
      <rPr>
        <b/>
        <sz val="18"/>
        <color rgb="FFFFFFFF"/>
        <rFont val="Tahoma"/>
        <family val="2"/>
      </rPr>
      <t xml:space="preserve"> </t>
    </r>
    <r>
      <rPr>
        <b/>
        <sz val="18"/>
        <color rgb="FFFF0000"/>
        <rFont val="Tahoma"/>
        <family val="2"/>
      </rPr>
      <t>( 2 room book )</t>
    </r>
  </si>
  <si>
    <t>Marcel Rothe</t>
  </si>
  <si>
    <t>Zolin Leoni</t>
  </si>
  <si>
    <t>Anna Anguera Reverté</t>
  </si>
  <si>
    <t>Romane Million</t>
  </si>
  <si>
    <t>Robert Lislois</t>
  </si>
  <si>
    <t>Marie Luisa Kuntz</t>
  </si>
  <si>
    <t>Andrzej Sudenis</t>
  </si>
  <si>
    <t>Yu-Syuan Chang</t>
  </si>
  <si>
    <t xml:space="preserve">Althea Mallee </t>
  </si>
  <si>
    <t>Charlie Gladding</t>
  </si>
  <si>
    <t>Ilona Klamann</t>
  </si>
  <si>
    <t>Irene cannavò</t>
  </si>
  <si>
    <t xml:space="preserve">Lee Sweeney </t>
  </si>
  <si>
    <t>richard kelly</t>
  </si>
  <si>
    <t>Yihul Chi</t>
  </si>
  <si>
    <t>Lara Hunt</t>
  </si>
  <si>
    <t>Maria Koraki</t>
  </si>
  <si>
    <t>Joaquim Guerreiro 17:00 - 18:00</t>
  </si>
  <si>
    <t>Jill Röhr</t>
  </si>
  <si>
    <t>Marius Schult</t>
  </si>
  <si>
    <t>Camila Fernandes Vidal</t>
  </si>
  <si>
    <t>Michelle Huang</t>
  </si>
  <si>
    <t>Adelina Dopico López</t>
  </si>
  <si>
    <t xml:space="preserve">Mattea Grech </t>
  </si>
  <si>
    <t>David Simonian</t>
  </si>
  <si>
    <t>David Furley</t>
  </si>
  <si>
    <t>WENRU GAO</t>
  </si>
  <si>
    <t>Leah Humphrey</t>
  </si>
  <si>
    <t>David López</t>
  </si>
  <si>
    <t>Aleksandra Bochkareva</t>
  </si>
  <si>
    <r>
      <t xml:space="preserve">Swetha Srinath </t>
    </r>
    <r>
      <rPr>
        <b/>
        <sz val="16"/>
        <color rgb="FFFF0000"/>
        <rFont val="Tahoma"/>
        <family val="2"/>
      </rPr>
      <t>/ ลูกค้าขอชิดเตียง / Make to Kid bed</t>
    </r>
  </si>
  <si>
    <t>jean-michel gabilly</t>
  </si>
  <si>
    <t xml:space="preserve">Laura Munoz </t>
  </si>
  <si>
    <t>JANE SELIA DOS REIS COIMBRA</t>
  </si>
  <si>
    <t>Daisy Arendell</t>
  </si>
  <si>
    <t>Iwona Kulińska-Ambroziak</t>
  </si>
  <si>
    <t>Oliver Andersson / Arrive 10 Jan on 6:00am</t>
  </si>
  <si>
    <r>
      <rPr>
        <b/>
        <sz val="18"/>
        <color rgb="FF000000"/>
        <rFont val="Tahoma"/>
        <family val="2"/>
      </rPr>
      <t xml:space="preserve">Renee Ju </t>
    </r>
    <r>
      <rPr>
        <b/>
        <sz val="18"/>
        <color rgb="FFFF0000"/>
        <rFont val="Tahoma"/>
        <family val="2"/>
      </rPr>
      <t>( 2 room booking )</t>
    </r>
  </si>
  <si>
    <t>Helen Truscott</t>
  </si>
  <si>
    <t xml:space="preserve">Roland Galensowske </t>
  </si>
  <si>
    <t>Deborah Young</t>
  </si>
  <si>
    <t>Lisanne Meijer</t>
  </si>
  <si>
    <t>Yaquelin Prado</t>
  </si>
  <si>
    <t xml:space="preserve">                              </t>
  </si>
  <si>
    <t>Gunilla Nyberg</t>
  </si>
  <si>
    <t>Owain Ashley Jones</t>
  </si>
  <si>
    <t>Dominic Panunzio</t>
  </si>
  <si>
    <t>youcyuan lin</t>
  </si>
  <si>
    <t>Ambrosio James</t>
  </si>
  <si>
    <t xml:space="preserve">Florence MARCÉ </t>
  </si>
  <si>
    <t>Joris Toselli</t>
  </si>
  <si>
    <t>Nutchanka Manoch</t>
  </si>
  <si>
    <t>Juri Hartmann</t>
  </si>
  <si>
    <t>Ebba Wahlberg</t>
  </si>
  <si>
    <t>Walter Fischer</t>
  </si>
  <si>
    <t>Lim Jia Qi</t>
  </si>
  <si>
    <t>Florian Poppelmann</t>
  </si>
  <si>
    <t>Florian Pöppelmann</t>
  </si>
  <si>
    <t>Annika Ramesh</t>
  </si>
  <si>
    <r>
      <rPr>
        <b/>
        <sz val="18"/>
        <color rgb="FF000000"/>
        <rFont val="Tahoma"/>
        <family val="2"/>
      </rPr>
      <t>Emilie Stefan</t>
    </r>
    <r>
      <rPr>
        <b/>
        <sz val="18"/>
        <color rgb="FFFFFFFF"/>
        <rFont val="Tahoma"/>
        <family val="2"/>
      </rPr>
      <t xml:space="preserve"> </t>
    </r>
    <r>
      <rPr>
        <b/>
        <sz val="18"/>
        <color rgb="FFFF0000"/>
        <rFont val="Tahoma"/>
        <family val="2"/>
      </rPr>
      <t>( 2 room book )</t>
    </r>
  </si>
  <si>
    <t>Gary Joyce จำนวน 3 ห้อง</t>
  </si>
  <si>
    <t>Hanoe Cornet</t>
  </si>
  <si>
    <r>
      <rPr>
        <b/>
        <sz val="18"/>
        <color rgb="FF000000"/>
        <rFont val="Tahoma"/>
        <family val="2"/>
      </rPr>
      <t xml:space="preserve">Jan Meyer </t>
    </r>
    <r>
      <rPr>
        <b/>
        <sz val="18"/>
        <color rgb="FFFF0000"/>
        <rFont val="Tahoma"/>
        <family val="2"/>
      </rPr>
      <t>( 2 room book )</t>
    </r>
  </si>
  <si>
    <t>Nagore Redin</t>
  </si>
  <si>
    <t>Marie Schürmann</t>
  </si>
  <si>
    <t>Konstantinos Pravitas</t>
  </si>
  <si>
    <t>Dymphna Mooney</t>
  </si>
  <si>
    <t>Angel Raymundo Bailon Ramos</t>
  </si>
  <si>
    <t>Serena Vitaliano</t>
  </si>
  <si>
    <t>Burchart Nadine</t>
  </si>
  <si>
    <t xml:space="preserve">Chen Zhan Chen </t>
  </si>
  <si>
    <t>Walk in Paid 800฿</t>
  </si>
  <si>
    <t>Sean Hewston</t>
  </si>
  <si>
    <r>
      <rPr>
        <b/>
        <sz val="18"/>
        <color rgb="FF000000"/>
        <rFont val="Tahoma"/>
        <family val="2"/>
      </rPr>
      <t xml:space="preserve">Marta Trzonkowska </t>
    </r>
    <r>
      <rPr>
        <b/>
        <sz val="18"/>
        <color rgb="FFFF0000"/>
        <rFont val="Tahoma"/>
        <family val="2"/>
      </rPr>
      <t>(2 room book)</t>
    </r>
  </si>
  <si>
    <t>Jennifer Malm</t>
  </si>
  <si>
    <t>Fabiana Andreoli</t>
  </si>
  <si>
    <t>Aleksander Cybulski  13:00</t>
  </si>
  <si>
    <t>De Beijer Sacha</t>
  </si>
  <si>
    <t>Guido Kaspers</t>
  </si>
  <si>
    <t>Eleonora Peruzzi  10:00 AM ถึง 11:00 AM</t>
  </si>
  <si>
    <t>Maryanne Nguyen</t>
  </si>
  <si>
    <t>Svetlana Beroggi</t>
  </si>
  <si>
    <t>Paris Cochran</t>
  </si>
  <si>
    <t>Annie Price  12:00 PM ถึง 1:00 PM</t>
  </si>
  <si>
    <t>Ray Emily</t>
  </si>
  <si>
    <t xml:space="preserve">Claudia Le Gall </t>
  </si>
  <si>
    <t>秀俐 李</t>
  </si>
  <si>
    <r>
      <t>Camilla Nunn /</t>
    </r>
    <r>
      <rPr>
        <b/>
        <sz val="16"/>
        <color rgb="FFFF0000"/>
        <rFont val="Tahoma"/>
        <family val="2"/>
      </rPr>
      <t xml:space="preserve"> ต้องการห้องเงียบ</t>
    </r>
  </si>
  <si>
    <t>Camilla Nunn</t>
  </si>
  <si>
    <r>
      <rPr>
        <b/>
        <sz val="16"/>
        <color rgb="FF000000"/>
        <rFont val="Tahoma"/>
        <family val="2"/>
      </rPr>
      <t xml:space="preserve">Emilie Stefan </t>
    </r>
    <r>
      <rPr>
        <b/>
        <sz val="16"/>
        <color rgb="FFFF0000"/>
        <rFont val="Tahoma"/>
        <family val="2"/>
      </rPr>
      <t>( 2 room book )</t>
    </r>
  </si>
  <si>
    <t>Tracie Mankowski</t>
  </si>
  <si>
    <t>Taylor Tran</t>
  </si>
  <si>
    <t>แม่อ๊อด</t>
  </si>
  <si>
    <t xml:space="preserve">Lander Ortiz de Zarate Ereño </t>
  </si>
  <si>
    <t>Roy Shiloh</t>
  </si>
  <si>
    <t>Liliane Teunissen</t>
  </si>
  <si>
    <t xml:space="preserve">Tom Barber </t>
  </si>
  <si>
    <r>
      <t xml:space="preserve">Claudia Sinnona
</t>
    </r>
    <r>
      <rPr>
        <b/>
        <sz val="16"/>
        <color rgb="FFFF0000"/>
        <rFont val="Tahoma"/>
        <family val="2"/>
      </rPr>
      <t>14:00</t>
    </r>
  </si>
  <si>
    <t>Fix curtain</t>
  </si>
  <si>
    <t xml:space="preserve">Jacques humpich </t>
  </si>
  <si>
    <t>Pii Por</t>
  </si>
  <si>
    <t>cheriane muller</t>
  </si>
  <si>
    <t>Sirichok Niamtiang</t>
  </si>
  <si>
    <t>Vincent de Jong</t>
  </si>
  <si>
    <t>Carine Spaens</t>
  </si>
  <si>
    <t>NATTHARIN CHAKAVALPITAK</t>
  </si>
  <si>
    <t xml:space="preserve">Johan Magnus Rydlund </t>
  </si>
  <si>
    <t>Lily Deascenti</t>
  </si>
  <si>
    <t xml:space="preserve">Beatrice Grist </t>
  </si>
  <si>
    <t>Lehtonen Mika</t>
  </si>
  <si>
    <t>Muriel Ferzandi</t>
  </si>
  <si>
    <t>Anne-Laure Vila</t>
  </si>
  <si>
    <t>Jun Lim  DD x4, DT x1</t>
  </si>
  <si>
    <t>Stijn Berendsen</t>
  </si>
  <si>
    <t>Braun Christina</t>
  </si>
  <si>
    <t>Domenico Magnante</t>
  </si>
  <si>
    <t>Eimear Kirk</t>
  </si>
  <si>
    <r>
      <rPr>
        <b/>
        <sz val="16"/>
        <color rgb="FF000000"/>
        <rFont val="Tahoma"/>
        <family val="2"/>
      </rPr>
      <t xml:space="preserve">Eliana Felice
</t>
    </r>
    <r>
      <rPr>
        <b/>
        <sz val="16"/>
        <color rgb="FFFF0000"/>
        <rFont val="Tahoma"/>
        <family val="2"/>
      </rPr>
      <t>จำนวน 2 ห้อง SD-&gt;DD</t>
    </r>
  </si>
  <si>
    <t>Yue Ding</t>
  </si>
  <si>
    <t>Ana Vanesa Gonzalez</t>
  </si>
  <si>
    <t>qin zhang</t>
  </si>
  <si>
    <r>
      <rPr>
        <b/>
        <sz val="16"/>
        <color rgb="FF000000"/>
        <rFont val="Tahoma"/>
        <family val="2"/>
      </rPr>
      <t xml:space="preserve">Sabine Schmitz </t>
    </r>
    <r>
      <rPr>
        <b/>
        <sz val="16"/>
        <color rgb="FFFF0000"/>
        <rFont val="Tahoma"/>
        <family val="2"/>
      </rPr>
      <t>(2 room book 3&amp;9)</t>
    </r>
  </si>
  <si>
    <r>
      <rPr>
        <b/>
        <sz val="16"/>
        <color rgb="FF000000"/>
        <rFont val="Tahoma"/>
        <family val="2"/>
      </rPr>
      <t xml:space="preserve">Eliana Felice
</t>
    </r>
    <r>
      <rPr>
        <b/>
        <sz val="16"/>
        <color rgb="FFFF0000"/>
        <rFont val="Tahoma"/>
        <family val="2"/>
      </rPr>
      <t>จำนวน 2 ห้อง</t>
    </r>
  </si>
  <si>
    <t>Ryan Barlow</t>
  </si>
  <si>
    <t>Evelin Dianela Cravero</t>
  </si>
  <si>
    <t>WEN-CHUN SHIH</t>
  </si>
  <si>
    <t>Ramanjit Kaur</t>
  </si>
  <si>
    <t>addison gillespie</t>
  </si>
  <si>
    <t>olivia rodd</t>
  </si>
  <si>
    <t>Warren Gardner</t>
  </si>
  <si>
    <t>Patrick Fizpatrick</t>
  </si>
  <si>
    <t>Benco Tjep</t>
  </si>
  <si>
    <t>Georgette van Loon</t>
  </si>
  <si>
    <t>shirel azizi</t>
  </si>
  <si>
    <t>Joanna Sokalla</t>
  </si>
  <si>
    <t>Gloria Fok</t>
  </si>
  <si>
    <r>
      <t xml:space="preserve">Carolin Buss  </t>
    </r>
    <r>
      <rPr>
        <b/>
        <sz val="16"/>
        <color rgb="FFFF0000"/>
        <rFont val="Tahoma"/>
        <family val="2"/>
      </rPr>
      <t>18:30</t>
    </r>
  </si>
  <si>
    <t>Extend 1 more night Paid already</t>
  </si>
  <si>
    <t>Elisabeth Lai</t>
  </si>
  <si>
    <t>check out 6 pm (500฿)</t>
  </si>
  <si>
    <t>Julia Targońska</t>
  </si>
  <si>
    <t>de vries hugo</t>
  </si>
  <si>
    <t>Bastianelli Giulia</t>
  </si>
  <si>
    <t>Lilli Soernes</t>
  </si>
  <si>
    <r>
      <t xml:space="preserve">Rayzia David </t>
    </r>
    <r>
      <rPr>
        <b/>
        <sz val="16"/>
        <color rgb="FFFF0000"/>
        <rFont val="Tahoma"/>
        <family val="2"/>
      </rPr>
      <t>/ Check In 2:00Am of 19/2 and Need room with window</t>
    </r>
  </si>
  <si>
    <t>Lucy Walker</t>
  </si>
  <si>
    <t>Helen Kuswik</t>
  </si>
  <si>
    <t>Cristina Pérez Pampano</t>
  </si>
  <si>
    <t>Jonna Skold</t>
  </si>
  <si>
    <t>Alessia Scarpa</t>
  </si>
  <si>
    <t>Marcin Kotlarz</t>
  </si>
  <si>
    <t>Ghisiaine Gralepois</t>
  </si>
  <si>
    <t>Félix Bayart</t>
  </si>
  <si>
    <t xml:space="preserve">Maike Reuss </t>
  </si>
  <si>
    <t>Yannick Ullisch</t>
  </si>
  <si>
    <t>Elizabeth Ozolins</t>
  </si>
  <si>
    <t>Gabriel Lima de Melo</t>
  </si>
  <si>
    <t>Hannah Sullivan</t>
  </si>
  <si>
    <r>
      <rPr>
        <b/>
        <sz val="16"/>
        <color rgb="FF000000"/>
        <rFont val="Tahoma"/>
        <family val="2"/>
      </rPr>
      <t>Sabine Schmitz (</t>
    </r>
    <r>
      <rPr>
        <b/>
        <sz val="16"/>
        <color rgb="FFFF0000"/>
        <rFont val="Tahoma"/>
        <family val="2"/>
      </rPr>
      <t>2 room book 3&amp;9)</t>
    </r>
  </si>
  <si>
    <t>christina AIRBNB</t>
  </si>
  <si>
    <t>/</t>
  </si>
  <si>
    <t>Hien BUI</t>
  </si>
  <si>
    <t xml:space="preserve">YeonMi Baek </t>
  </si>
  <si>
    <t>Daniël Jansen</t>
  </si>
  <si>
    <t>Rebecca Dale</t>
  </si>
  <si>
    <t>Joshua Nelson</t>
  </si>
  <si>
    <t>Joanna Zając</t>
  </si>
  <si>
    <t>Cédric Vandenbussche</t>
  </si>
  <si>
    <t>Calvin Janson</t>
  </si>
  <si>
    <t>Justin Huber  / 2:00 PM- 3:00 PM</t>
  </si>
  <si>
    <t>emmanuel dejace</t>
  </si>
  <si>
    <t>Emily Stockum</t>
  </si>
  <si>
    <t>sefton greene</t>
  </si>
  <si>
    <t>Edina Vilmányi</t>
  </si>
  <si>
    <t>SHUYING XU</t>
  </si>
  <si>
    <t xml:space="preserve">lahaye dominique </t>
  </si>
  <si>
    <t>Nina Dawe</t>
  </si>
  <si>
    <t>Breea Meyer</t>
  </si>
  <si>
    <t>Jan Malchar</t>
  </si>
  <si>
    <r>
      <rPr>
        <b/>
        <sz val="16"/>
        <color rgb="FF000000"/>
        <rFont val="Tahoma"/>
        <family val="2"/>
      </rPr>
      <t xml:space="preserve">Erica Ebner </t>
    </r>
    <r>
      <rPr>
        <b/>
        <sz val="16"/>
        <color rgb="FFFF0000"/>
        <rFont val="Tahoma"/>
        <family val="2"/>
      </rPr>
      <t>SD-&gt;DD</t>
    </r>
  </si>
  <si>
    <t>Richard Blanchfield</t>
  </si>
  <si>
    <t>Katherine Sierra</t>
  </si>
  <si>
    <r>
      <rPr>
        <b/>
        <sz val="16"/>
        <color rgb="FF000000"/>
        <rFont val="Tahoma"/>
        <family val="2"/>
      </rPr>
      <t xml:space="preserve">Extend 1,200x2 </t>
    </r>
    <r>
      <rPr>
        <b/>
        <sz val="16"/>
        <color rgb="FFFF0000"/>
        <rFont val="Tahoma"/>
        <family val="2"/>
      </rPr>
      <t>(Paid 2400฿ already)</t>
    </r>
  </si>
  <si>
    <t>Alexandra Fillion</t>
  </si>
  <si>
    <t>Extend 1 night</t>
  </si>
  <si>
    <t>Simona Iurlaro</t>
  </si>
  <si>
    <t>Jane Bannister Grech</t>
  </si>
  <si>
    <t>Shamai Ziv</t>
  </si>
  <si>
    <t>Mathys Depraz</t>
  </si>
  <si>
    <t>Paweł Banaszczyk</t>
  </si>
  <si>
    <t>Margo AIRBNB</t>
  </si>
  <si>
    <t>Barbara Heffernan</t>
  </si>
  <si>
    <t>Edouard Bertrand</t>
  </si>
  <si>
    <t>Gold Stuart</t>
  </si>
  <si>
    <t xml:space="preserve"> Irene Peral Martin</t>
  </si>
  <si>
    <t>Paul Staite</t>
  </si>
  <si>
    <t>Lisa Karol</t>
  </si>
  <si>
    <t>Hendrik willem Peters</t>
  </si>
  <si>
    <t>Extend 2-nights (Paid 1600)</t>
  </si>
  <si>
    <t>Natalia Zapata</t>
  </si>
  <si>
    <t>Cheuk Yin Ng</t>
  </si>
  <si>
    <t>Laura healy</t>
  </si>
  <si>
    <t>wydenes Brandee</t>
  </si>
  <si>
    <t xml:space="preserve">Anja Raygrotzki </t>
  </si>
  <si>
    <t>Hyacinth Liesdek</t>
  </si>
  <si>
    <t>ANTONIA GLYNIADAKI</t>
  </si>
  <si>
    <t>Chiesa Sandra</t>
  </si>
  <si>
    <t>Colby Butchereit</t>
  </si>
  <si>
    <t>Iiris Korpela</t>
  </si>
  <si>
    <t>Elif Simsir</t>
  </si>
  <si>
    <t>Kamenow Milos</t>
  </si>
  <si>
    <t>Maisy Blair</t>
  </si>
  <si>
    <t>Yi Chin Hsu</t>
  </si>
  <si>
    <t>Chia-Yu Hsu</t>
  </si>
  <si>
    <t xml:space="preserve"> Fatimah Rahima Jingona 1675017172 (Requed Twin Bed)</t>
  </si>
  <si>
    <t>Gian Nadig</t>
  </si>
  <si>
    <t>Piotr Gembicki</t>
  </si>
  <si>
    <t>Kam Afzal</t>
  </si>
  <si>
    <t xml:space="preserve">YUN JIE LI </t>
  </si>
  <si>
    <t xml:space="preserve">Stefanie Wanner </t>
  </si>
  <si>
    <t>MIN JIA CHAN</t>
  </si>
  <si>
    <t>Tomohiko Tabuchi</t>
  </si>
  <si>
    <t xml:space="preserve">           Kiell Skibba</t>
  </si>
  <si>
    <r>
      <rPr>
        <b/>
        <sz val="16"/>
        <color rgb="FF000000"/>
        <rFont val="Tahoma"/>
      </rPr>
      <t xml:space="preserve">Maja Alina Kretschmer </t>
    </r>
    <r>
      <rPr>
        <b/>
        <sz val="16"/>
        <color rgb="FFC00000"/>
        <rFont val="Tahoma"/>
      </rPr>
      <t>(make the bed to King Size)</t>
    </r>
  </si>
  <si>
    <r>
      <rPr>
        <b/>
        <sz val="16"/>
        <color rgb="FF000000"/>
        <rFont val="Tahoma"/>
      </rPr>
      <t xml:space="preserve">Jaśmina Błażewicz </t>
    </r>
    <r>
      <rPr>
        <b/>
        <sz val="16"/>
        <color rgb="FFFF0000"/>
        <rFont val="Tahoma"/>
      </rPr>
      <t>[make the bed to king size]</t>
    </r>
  </si>
  <si>
    <t>Andrew Billington</t>
  </si>
  <si>
    <r>
      <rPr>
        <b/>
        <sz val="16"/>
        <color rgb="FFFFFFFF"/>
        <rFont val="Tahoma"/>
      </rPr>
      <t xml:space="preserve"> </t>
    </r>
    <r>
      <rPr>
        <b/>
        <sz val="16"/>
        <color rgb="FF000000"/>
        <rFont val="Tahoma"/>
      </rPr>
      <t>Žan Travnikar</t>
    </r>
  </si>
  <si>
    <t>Thomas Schmid 629344479</t>
  </si>
  <si>
    <t xml:space="preserve">Jennifer Sievers </t>
  </si>
  <si>
    <t>Pedro Santos</t>
  </si>
  <si>
    <t>Inna Chayka</t>
  </si>
  <si>
    <t>Michela Catapano</t>
  </si>
  <si>
    <t>javier moreno silva</t>
  </si>
  <si>
    <t>Blerina SADIKU</t>
  </si>
  <si>
    <t>Erskine Matthew</t>
  </si>
  <si>
    <t>Christian Fernandez</t>
  </si>
  <si>
    <t>Yin Yin Phyu</t>
  </si>
  <si>
    <t>Alejandra Jadue</t>
  </si>
  <si>
    <t>L Jones</t>
  </si>
  <si>
    <t>Lucia Hrompová 629928211</t>
  </si>
  <si>
    <t>Mark Westra  2 rooms 1SD+1DD</t>
  </si>
  <si>
    <t>Mizgin Turunc</t>
  </si>
  <si>
    <t>Tania Ingrid Hernandez 1,000</t>
  </si>
  <si>
    <t>Manon Lecussan</t>
  </si>
  <si>
    <t>Yaoyao Jiao</t>
  </si>
  <si>
    <t>Alexander Walcher</t>
  </si>
  <si>
    <t>Kristýna Sluková</t>
  </si>
  <si>
    <t>Tania Ingrid Hernandez</t>
  </si>
  <si>
    <t>Francesco Piermartini</t>
  </si>
  <si>
    <t>Siulina Mega</t>
  </si>
  <si>
    <t>Mabel Ziman</t>
  </si>
  <si>
    <t>Sunavska Barbora</t>
  </si>
  <si>
    <t>Claudio Helmer</t>
  </si>
  <si>
    <t xml:space="preserve"> Rachel Lawrence</t>
  </si>
  <si>
    <t>darshan patel</t>
  </si>
  <si>
    <t>Matas Rimka</t>
  </si>
  <si>
    <t xml:space="preserve">Melissa Commandeur </t>
  </si>
  <si>
    <t xml:space="preserve"> Bae Huejin</t>
  </si>
  <si>
    <t>Blerion Muco 
632709115</t>
  </si>
  <si>
    <r>
      <t xml:space="preserve">Tom Wiese </t>
    </r>
    <r>
      <rPr>
        <b/>
        <sz val="16"/>
        <color rgb="FFFF0000"/>
        <rFont val="Tahoma"/>
        <family val="2"/>
      </rPr>
      <t>(Make to King Bed)</t>
    </r>
  </si>
  <si>
    <t xml:space="preserve"> Michael Suhlunegger</t>
  </si>
  <si>
    <t>Extend 1,000</t>
  </si>
  <si>
    <r>
      <rPr>
        <b/>
        <sz val="16"/>
        <color rgb="FF000000"/>
        <rFont val="Tahoma"/>
      </rPr>
      <t xml:space="preserve"> Eva Huizinga</t>
    </r>
    <r>
      <rPr>
        <b/>
        <sz val="16"/>
        <color rgb="FFFF0000"/>
        <rFont val="Tahoma"/>
      </rPr>
      <t xml:space="preserve"> (Change Check in date from 10-&gt;11)</t>
    </r>
  </si>
  <si>
    <t>Shannan Wittshipe</t>
  </si>
  <si>
    <t>Arthur Lyons</t>
  </si>
  <si>
    <t>Diana Albu</t>
  </si>
  <si>
    <t xml:space="preserve"> Bryoni Ashton</t>
  </si>
  <si>
    <t xml:space="preserve"> Adrian Labus</t>
  </si>
  <si>
    <t xml:space="preserve"> Timothy Rek</t>
  </si>
  <si>
    <t>Bianca Sarina Neurohr</t>
  </si>
  <si>
    <t>Julia Sandelin</t>
  </si>
  <si>
    <t>Lva Pavlovic</t>
  </si>
  <si>
    <r>
      <t xml:space="preserve"> Tamera hutcherson</t>
    </r>
    <r>
      <rPr>
        <b/>
        <sz val="18"/>
        <color rgb="FFC00000"/>
        <rFont val="Tahoma"/>
        <family val="2"/>
      </rPr>
      <t xml:space="preserve"> (9:00-10:00 Am)</t>
    </r>
  </si>
  <si>
    <t>Nunzio Sciacca</t>
  </si>
  <si>
    <t>Johanna Osterwind</t>
  </si>
  <si>
    <t>Extand 1,200</t>
  </si>
  <si>
    <t>Javier Abajo</t>
  </si>
  <si>
    <t>Wing Yan Sum</t>
  </si>
  <si>
    <t>Sumaira Zaheer</t>
  </si>
  <si>
    <t>Jagoda Wall</t>
  </si>
  <si>
    <t>Francisco Javier Gonzalez Diaz</t>
  </si>
  <si>
    <t>Turley Kyle</t>
  </si>
  <si>
    <t>Stefan Whaley</t>
  </si>
  <si>
    <t>Idol Cafe Pii Dao 800/night</t>
  </si>
  <si>
    <t>Emily Stewart</t>
  </si>
  <si>
    <t>Chris Maudlin</t>
  </si>
  <si>
    <t>Barbara Fernandez-Gonalez</t>
  </si>
  <si>
    <t>Julia Fischer</t>
  </si>
  <si>
    <r>
      <rPr>
        <b/>
        <sz val="16"/>
        <color rgb="FFFF0000"/>
        <rFont val="Tahoma"/>
      </rPr>
      <t>1.</t>
    </r>
    <r>
      <rPr>
        <b/>
        <sz val="16"/>
        <color rgb="FF000000"/>
        <rFont val="Tahoma"/>
      </rPr>
      <t xml:space="preserve"> Ryan Burnett </t>
    </r>
    <r>
      <rPr>
        <b/>
        <sz val="16"/>
        <color rgb="FFC00000"/>
        <rFont val="Tahoma"/>
      </rPr>
      <t>( 2 rooms )</t>
    </r>
  </si>
  <si>
    <t>David Kühn</t>
  </si>
  <si>
    <t>Lisa Minners</t>
  </si>
  <si>
    <t>Janto Groeneveld</t>
  </si>
  <si>
    <t>Francesco Mundi</t>
  </si>
  <si>
    <r>
      <rPr>
        <b/>
        <sz val="16"/>
        <color rgb="FFFF0000"/>
        <rFont val="Tahoma"/>
      </rPr>
      <t>2.</t>
    </r>
    <r>
      <rPr>
        <b/>
        <sz val="16"/>
        <color rgb="FF000000"/>
        <rFont val="Tahoma"/>
      </rPr>
      <t xml:space="preserve"> Ryan Burnett</t>
    </r>
    <r>
      <rPr>
        <b/>
        <sz val="16"/>
        <color rgb="FFC00000"/>
        <rFont val="Tahoma"/>
      </rPr>
      <t xml:space="preserve"> ( 2 rooms )</t>
    </r>
  </si>
  <si>
    <t>Yue Jia Xi</t>
  </si>
  <si>
    <r>
      <rPr>
        <b/>
        <sz val="16"/>
        <color rgb="FF000000"/>
        <rFont val="Tahoma"/>
      </rPr>
      <t xml:space="preserve">Lucas 800/night </t>
    </r>
    <r>
      <rPr>
        <b/>
        <sz val="16"/>
        <color rgb="FFFF0000"/>
        <rFont val="Tahoma"/>
      </rPr>
      <t>Paid</t>
    </r>
  </si>
  <si>
    <r>
      <rPr>
        <b/>
        <sz val="16"/>
        <color rgb="FF000000"/>
        <rFont val="Tahoma"/>
      </rPr>
      <t>Domenik Koldringer</t>
    </r>
    <r>
      <rPr>
        <b/>
        <sz val="16"/>
        <color rgb="FFC00000"/>
        <rFont val="Tahoma"/>
      </rPr>
      <t xml:space="preserve"> (19:00-20:00)</t>
    </r>
  </si>
  <si>
    <t>Marie Schneider</t>
  </si>
  <si>
    <t>Taylor Richards</t>
  </si>
  <si>
    <t xml:space="preserve"> Lixueyan Li</t>
  </si>
  <si>
    <t>Anuchit Bremner</t>
  </si>
  <si>
    <t>Delfina Tamagnini</t>
  </si>
  <si>
    <t>yiyian liang</t>
  </si>
  <si>
    <t>Laura Antoniles Miguel</t>
  </si>
  <si>
    <t>Tsai Yu Cheng</t>
  </si>
  <si>
    <r>
      <rPr>
        <b/>
        <sz val="16"/>
        <color rgb="FF000000"/>
        <rFont val="Tahoma"/>
      </rPr>
      <t xml:space="preserve">Arrive Before 1 Day </t>
    </r>
    <r>
      <rPr>
        <b/>
        <sz val="16"/>
        <color rgb="FFFF0000"/>
        <rFont val="Tahoma"/>
      </rPr>
      <t xml:space="preserve">Paid </t>
    </r>
    <r>
      <rPr>
        <b/>
        <sz val="16"/>
        <color rgb="FF000000"/>
        <rFont val="Tahoma"/>
      </rPr>
      <t xml:space="preserve">1,100 THB </t>
    </r>
  </si>
  <si>
    <r>
      <rPr>
        <b/>
        <sz val="16"/>
        <color rgb="FF000000"/>
        <rFont val="Tahoma"/>
      </rPr>
      <t xml:space="preserve">Jasmine Daniels </t>
    </r>
    <r>
      <rPr>
        <b/>
        <sz val="16"/>
        <color rgb="FFFF0000"/>
        <rFont val="Tahoma"/>
      </rPr>
      <t xml:space="preserve">10:00 - 11:00 </t>
    </r>
  </si>
  <si>
    <t>Agnes Romagny</t>
  </si>
  <si>
    <t>Pii Dao 800</t>
  </si>
  <si>
    <t>Magnus Valentin Schneider</t>
  </si>
  <si>
    <t>Clara Filippini</t>
  </si>
  <si>
    <r>
      <rPr>
        <b/>
        <sz val="16"/>
        <color rgb="FF000000"/>
        <rFont val="Tahoma"/>
      </rPr>
      <t xml:space="preserve">Lucas 1,000 /night </t>
    </r>
    <r>
      <rPr>
        <b/>
        <sz val="16"/>
        <color rgb="FFFF0000"/>
        <rFont val="Tahoma"/>
      </rPr>
      <t>Paid</t>
    </r>
  </si>
  <si>
    <t>Matthias Gruen</t>
  </si>
  <si>
    <t>Nina Labao</t>
  </si>
  <si>
    <t>Warren Fouemena</t>
  </si>
  <si>
    <t>Maria Lbis Perez del Olmo</t>
  </si>
  <si>
    <t>Joseph Philip Warriner</t>
  </si>
  <si>
    <t>Marta Bellerín</t>
  </si>
  <si>
    <t>GARY WORRALL</t>
  </si>
  <si>
    <t>Elena Dos Santos Gomez</t>
  </si>
  <si>
    <t>THomas Mouritzen</t>
  </si>
  <si>
    <t>Han Michelle</t>
  </si>
  <si>
    <t>Ratchabhorn Becker</t>
  </si>
  <si>
    <t>Fiona Harney</t>
  </si>
  <si>
    <r>
      <rPr>
        <b/>
        <sz val="16"/>
        <color rgb="FF000000"/>
        <rFont val="Tahoma"/>
      </rPr>
      <t xml:space="preserve">MINGYUE MO </t>
    </r>
    <r>
      <rPr>
        <b/>
        <sz val="16"/>
        <color rgb="FFC00000"/>
        <rFont val="Tahoma"/>
      </rPr>
      <t>(agoda)</t>
    </r>
    <r>
      <rPr>
        <b/>
        <sz val="16"/>
        <color rgb="FF000000"/>
        <rFont val="Tahoma"/>
      </rPr>
      <t xml:space="preserve"> 1710588895</t>
    </r>
  </si>
  <si>
    <t>extend 900 Paid by cash</t>
  </si>
  <si>
    <t>Jen Tong</t>
  </si>
  <si>
    <t>Christopher Price</t>
  </si>
  <si>
    <t>Naila MEFTAH</t>
  </si>
  <si>
    <t>Jasmin Trocker</t>
  </si>
  <si>
    <t>Olivia Studsgaard   11:00 - 12:00</t>
  </si>
  <si>
    <r>
      <rPr>
        <b/>
        <sz val="16"/>
        <color rgb="FF000000"/>
        <rFont val="Tahoma"/>
      </rPr>
      <t xml:space="preserve">Pii Fang (Pii Dao' friend) </t>
    </r>
    <r>
      <rPr>
        <b/>
        <sz val="16"/>
        <color rgb="FFFF0000"/>
        <rFont val="Tahoma"/>
      </rPr>
      <t>Make King size bed</t>
    </r>
  </si>
  <si>
    <t>TORRES HERMANSEN (988874866)</t>
  </si>
  <si>
    <r>
      <rPr>
        <b/>
        <sz val="16"/>
        <color rgb="FF000000"/>
        <rFont val="Tahoma"/>
      </rPr>
      <t xml:space="preserve">Dominic Lowen </t>
    </r>
    <r>
      <rPr>
        <b/>
        <sz val="16"/>
        <color rgb="FFFF0000"/>
        <rFont val="Tahoma"/>
      </rPr>
      <t>make king size bed</t>
    </r>
  </si>
  <si>
    <r>
      <rPr>
        <b/>
        <sz val="16"/>
        <color rgb="FF000000"/>
        <rFont val="Tahoma"/>
      </rPr>
      <t>Marine Oussaiden /</t>
    </r>
    <r>
      <rPr>
        <b/>
        <sz val="16"/>
        <color rgb="FFFF0000"/>
        <rFont val="Tahoma"/>
      </rPr>
      <t xml:space="preserve"> Change from Deluxe -&gt;Twin bed</t>
    </r>
  </si>
  <si>
    <t>David Bonicillo</t>
  </si>
  <si>
    <t>Joano Freire</t>
  </si>
  <si>
    <t xml:space="preserve"> Tamera hutcherson</t>
  </si>
  <si>
    <t>eleonora lori</t>
  </si>
  <si>
    <r>
      <rPr>
        <b/>
        <sz val="16"/>
        <color rgb="FF000000"/>
        <rFont val="Tahoma"/>
      </rPr>
      <t>Yasmin Gallagher</t>
    </r>
    <r>
      <rPr>
        <b/>
        <sz val="16"/>
        <color rgb="FFC00000"/>
        <rFont val="Tahoma"/>
      </rPr>
      <t>(1:00-2:00)Pm</t>
    </r>
  </si>
  <si>
    <t xml:space="preserve">Anke Pohlmann </t>
  </si>
  <si>
    <t>Lilou THIVOLLE</t>
  </si>
  <si>
    <t xml:space="preserve"> Flavia Culcasi</t>
  </si>
  <si>
    <r>
      <rPr>
        <b/>
        <sz val="16"/>
        <color rgb="FF000000"/>
        <rFont val="Tahoma"/>
      </rPr>
      <t>Craig Bessant</t>
    </r>
    <r>
      <rPr>
        <b/>
        <sz val="16"/>
        <color rgb="FFFF0000"/>
        <rFont val="Tahoma"/>
      </rPr>
      <t xml:space="preserve"> </t>
    </r>
    <r>
      <rPr>
        <b/>
        <sz val="16"/>
        <color rgb="FFC00000"/>
        <rFont val="Tahoma"/>
      </rPr>
      <t xml:space="preserve"> 3:00 PM - 4:00 PM</t>
    </r>
  </si>
  <si>
    <t>Boss - Pii Aoom</t>
  </si>
  <si>
    <t>Alexa Diaz Quiroz</t>
  </si>
  <si>
    <t>Marie Kruger</t>
  </si>
  <si>
    <t>Heather Zamenski</t>
  </si>
  <si>
    <t>Ronja Schaub</t>
  </si>
  <si>
    <t>Mathias Carrere</t>
  </si>
  <si>
    <t>YUKA TOBISE</t>
  </si>
  <si>
    <t>Roos Kerkhof</t>
  </si>
  <si>
    <t>Corey Rudman</t>
  </si>
  <si>
    <t>Hari Prasana/Dinesh Saravanan</t>
  </si>
  <si>
    <t>Bryan Paul Badong</t>
  </si>
  <si>
    <t>Karoline Foote</t>
  </si>
  <si>
    <t>WEN SHIHNI</t>
  </si>
  <si>
    <t>Jessica Mc Donnell</t>
  </si>
  <si>
    <t>Ruth Staunton</t>
  </si>
  <si>
    <t xml:space="preserve">Miguel Conde Luis Arturo </t>
  </si>
  <si>
    <t>Aidan Nemiroff</t>
  </si>
  <si>
    <t>Dinesh Saravanan Kumaraswamy</t>
  </si>
  <si>
    <r>
      <t xml:space="preserve">Fatimah Rahima Jingona 1675017172 </t>
    </r>
    <r>
      <rPr>
        <b/>
        <sz val="16"/>
        <color rgb="FFFF0000"/>
        <rFont val="Tahoma"/>
        <family val="2"/>
      </rPr>
      <t>/ Reserve King Bad requested Twin Bed</t>
    </r>
  </si>
  <si>
    <t>Cassandra Tyros</t>
  </si>
  <si>
    <t>Abigail Dixon</t>
  </si>
  <si>
    <r>
      <t xml:space="preserve">Claire Marques Pacheco </t>
    </r>
    <r>
      <rPr>
        <b/>
        <sz val="16"/>
        <color rgb="FFFF0000"/>
        <rFont val="Tahoma"/>
        <family val="2"/>
      </rPr>
      <t xml:space="preserve"> 23:00 - 00:00</t>
    </r>
  </si>
  <si>
    <t xml:space="preserve">Ryder Sitcawich </t>
  </si>
  <si>
    <t>munirih mclaren</t>
  </si>
  <si>
    <t>Winson Lim</t>
  </si>
  <si>
    <t>Hury Alejandra Adams Garcia</t>
  </si>
  <si>
    <t>Daisy Bradanini</t>
  </si>
  <si>
    <r>
      <rPr>
        <b/>
        <sz val="16"/>
        <color rgb="FF000000"/>
        <rFont val="Tahoma"/>
      </rPr>
      <t xml:space="preserve">Ariana Teresa Viera Liceaga </t>
    </r>
    <r>
      <rPr>
        <b/>
        <sz val="16"/>
        <color rgb="FFC00000"/>
        <rFont val="Tahoma"/>
      </rPr>
      <t>(2 Rooms)</t>
    </r>
  </si>
  <si>
    <t xml:space="preserve">Dinesh (Pay when Check in room 4 3,600) </t>
  </si>
  <si>
    <t>Claudia Nagel</t>
  </si>
  <si>
    <t>Klara Dowds</t>
  </si>
  <si>
    <t>Anna Georgiou</t>
  </si>
  <si>
    <t>Mujda Raufi</t>
  </si>
  <si>
    <t>Valentina Sarris</t>
  </si>
  <si>
    <t>b</t>
  </si>
  <si>
    <t>Samuel Delgado Muñoz</t>
  </si>
  <si>
    <r>
      <rPr>
        <b/>
        <sz val="16"/>
        <color rgb="FF000000"/>
        <rFont val="Tahoma"/>
      </rPr>
      <t>Tess Warren</t>
    </r>
    <r>
      <rPr>
        <b/>
        <sz val="16"/>
        <color rgb="FFC00000"/>
        <rFont val="Tahoma"/>
      </rPr>
      <t xml:space="preserve"> (18:00 - 19:00)</t>
    </r>
  </si>
  <si>
    <t>Isabelle Hermes</t>
  </si>
  <si>
    <t xml:space="preserve"> Miguel Conde Arturo </t>
  </si>
  <si>
    <t>Lin Amy</t>
  </si>
  <si>
    <t>Giuseppe Meola</t>
  </si>
  <si>
    <t>Stephanie Manning</t>
  </si>
  <si>
    <t>Heleen Aalders</t>
  </si>
  <si>
    <r>
      <rPr>
        <b/>
        <sz val="16"/>
        <color rgb="FF000000"/>
        <rFont val="Tahoma"/>
      </rPr>
      <t xml:space="preserve">Lucy Baird </t>
    </r>
    <r>
      <rPr>
        <b/>
        <sz val="16"/>
        <color rgb="FFFF0000"/>
        <rFont val="Tahoma"/>
      </rPr>
      <t>( 2 room book )</t>
    </r>
  </si>
  <si>
    <t>RAE SUMICAD</t>
  </si>
  <si>
    <t>Sina Daneshvar</t>
  </si>
  <si>
    <t>Dawid Olejnik</t>
  </si>
  <si>
    <t>Ching Chu Chang</t>
  </si>
  <si>
    <t>Hung Ju Chen</t>
  </si>
  <si>
    <t>Selene Berenice Tenorio Cruz</t>
  </si>
  <si>
    <t>Alejandro Cuenca</t>
  </si>
  <si>
    <t>Sarah Fan</t>
  </si>
  <si>
    <t xml:space="preserve">July B </t>
  </si>
  <si>
    <r>
      <rPr>
        <b/>
        <sz val="16"/>
        <color rgb="FF000000"/>
        <rFont val="Tahoma"/>
      </rPr>
      <t xml:space="preserve">Maia Mansour </t>
    </r>
    <r>
      <rPr>
        <b/>
        <sz val="16"/>
        <color rgb="FFC00000"/>
        <rFont val="Tahoma"/>
      </rPr>
      <t>(2:00-3:00) Pm</t>
    </r>
  </si>
  <si>
    <t>JU HUANG CHIU</t>
  </si>
  <si>
    <t xml:space="preserve"> munirih mclaren</t>
  </si>
  <si>
    <t>Jennifer Nguyen</t>
  </si>
  <si>
    <t>Heleen Aalder</t>
  </si>
  <si>
    <r>
      <rPr>
        <b/>
        <sz val="16"/>
        <color rgb="FF000000"/>
        <rFont val="Tahoma"/>
      </rPr>
      <t xml:space="preserve">Tasha Bhatt </t>
    </r>
    <r>
      <rPr>
        <b/>
        <sz val="16"/>
        <color rgb="FFC00000"/>
        <rFont val="Tahoma"/>
      </rPr>
      <t>(12:00-13:00)</t>
    </r>
  </si>
  <si>
    <t>Ingo Goebels</t>
  </si>
  <si>
    <r>
      <rPr>
        <b/>
        <sz val="16"/>
        <color rgb="FF000000"/>
        <rFont val="Tahoma"/>
      </rPr>
      <t xml:space="preserve">Sylvain CADET </t>
    </r>
    <r>
      <rPr>
        <b/>
        <sz val="16"/>
        <color rgb="FFC00000"/>
        <rFont val="Tahoma"/>
      </rPr>
      <t>(14:00-15:00)</t>
    </r>
  </si>
  <si>
    <t>Simone Loy</t>
  </si>
  <si>
    <t>Maria Isabel Buzbee</t>
  </si>
  <si>
    <t>Delgado Fabiany(13:00-14:00)pm</t>
  </si>
  <si>
    <t>Shurui Niu</t>
  </si>
  <si>
    <t>Angelo Perico</t>
  </si>
  <si>
    <t>Maxim Wadephul</t>
  </si>
  <si>
    <t xml:space="preserve">Arif Issa </t>
  </si>
  <si>
    <t>yuseong song</t>
  </si>
  <si>
    <t>yuseong song 
1705254610</t>
  </si>
  <si>
    <t>yuseong song 
1702806538</t>
  </si>
  <si>
    <t>Amna Ameur</t>
  </si>
  <si>
    <r>
      <t xml:space="preserve">Lieke Hoppenbrouwers </t>
    </r>
    <r>
      <rPr>
        <b/>
        <sz val="16"/>
        <color rgb="FFFF0000"/>
        <rFont val="Tahoma"/>
        <family val="2"/>
      </rPr>
      <t>/ 3Rooms / Over night Train 9:30</t>
    </r>
  </si>
  <si>
    <t xml:space="preserve">Ana Lopez Ruiz </t>
  </si>
  <si>
    <t>christophe geyres</t>
  </si>
  <si>
    <t>Ángela Redondo Gonzalez</t>
  </si>
  <si>
    <r>
      <rPr>
        <b/>
        <sz val="16"/>
        <color rgb="FFFFFFFF"/>
        <rFont val="Tahoma"/>
      </rPr>
      <t xml:space="preserve"> </t>
    </r>
    <r>
      <rPr>
        <b/>
        <sz val="16"/>
        <color rgb="FF000000"/>
        <rFont val="Tahoma"/>
      </rPr>
      <t>Huang Meihsueh</t>
    </r>
  </si>
  <si>
    <t>FUMIKO NIKI</t>
  </si>
  <si>
    <t>Sophie garcia</t>
  </si>
  <si>
    <t>Sabina Boddupalli</t>
  </si>
  <si>
    <t>Evaelle de BREZA de BRIESEN-BREZA</t>
  </si>
  <si>
    <r>
      <t xml:space="preserve">ruth cebrian 
</t>
    </r>
    <r>
      <rPr>
        <b/>
        <sz val="16"/>
        <color rgb="FFFF0000"/>
        <rFont val="Tahoma"/>
        <family val="2"/>
      </rPr>
      <t>(Make to King Size Bed)</t>
    </r>
  </si>
  <si>
    <t>A Minh Lieu</t>
  </si>
  <si>
    <t>Aaron Chand</t>
  </si>
  <si>
    <t>Jorg Dirmaier</t>
  </si>
  <si>
    <t>ChiaHuei (Abby) Huang</t>
  </si>
  <si>
    <t>Wouter Stoffelsen</t>
  </si>
  <si>
    <t xml:space="preserve">Zachary Logan </t>
  </si>
  <si>
    <t xml:space="preserve">Ellie O’Neill </t>
  </si>
  <si>
    <t>Astrid Van de Vijver</t>
  </si>
  <si>
    <t>Luca Post</t>
  </si>
  <si>
    <t>Ann Aerts  3 room (DD/TD/HS)</t>
  </si>
  <si>
    <t>Christian Antonio Vargas Cardenas</t>
  </si>
  <si>
    <t>Marco Savic</t>
  </si>
  <si>
    <t>Delgado Fabiany</t>
  </si>
  <si>
    <t>SEO YEONJOO</t>
  </si>
  <si>
    <t>EL FADDAOUI aya</t>
  </si>
  <si>
    <t>Jessica McAnnally-Linz</t>
  </si>
  <si>
    <t>Casadesús Èlia</t>
  </si>
  <si>
    <t>Goetz Dillon</t>
  </si>
  <si>
    <t>Sheanaze Neant</t>
  </si>
  <si>
    <t>Alicia Odonnell จำนวน 2 rooms  (ทำเป็นเตียงเดียว)</t>
  </si>
  <si>
    <t xml:space="preserve">Alicia Odonnell จำนวน 2 rooms </t>
  </si>
  <si>
    <t>Laura Rutten</t>
  </si>
  <si>
    <t>Daniela Amici</t>
  </si>
  <si>
    <t>Laura Calov de Mora Aleger</t>
  </si>
  <si>
    <t>Fabio Hintke</t>
  </si>
  <si>
    <t>ISSEI ABE</t>
  </si>
  <si>
    <t>Alvaro Fernandez</t>
  </si>
  <si>
    <t>Yue Ying</t>
  </si>
  <si>
    <t>Martina Sordi</t>
  </si>
  <si>
    <t xml:space="preserve">Estela Della Roca </t>
  </si>
  <si>
    <r>
      <rPr>
        <b/>
        <sz val="16"/>
        <color rgb="FF000000"/>
        <rFont val="Tahoma"/>
      </rPr>
      <t>Elisa Gianassi</t>
    </r>
    <r>
      <rPr>
        <b/>
        <sz val="16"/>
        <color rgb="FFFFFFFF"/>
        <rFont val="Tahoma"/>
      </rPr>
      <t xml:space="preserve"> </t>
    </r>
    <r>
      <rPr>
        <b/>
        <sz val="16"/>
        <color rgb="FFC00000"/>
        <rFont val="Tahoma"/>
      </rPr>
      <t>( 4 Room)</t>
    </r>
  </si>
  <si>
    <t>Marcos Sanz Gomez</t>
  </si>
  <si>
    <t>Selina Ergart</t>
  </si>
  <si>
    <t>Catarina Santos</t>
  </si>
  <si>
    <t>maitre benjamin</t>
  </si>
  <si>
    <t>Sheyla Garcia</t>
  </si>
  <si>
    <t>Asia Sala</t>
  </si>
  <si>
    <t xml:space="preserve">Kerry-Ann Lee </t>
  </si>
  <si>
    <t>Andrea Cantero</t>
  </si>
  <si>
    <t xml:space="preserve"> </t>
  </si>
  <si>
    <t>Elena Martínez Sánchez</t>
  </si>
  <si>
    <t>Charlotte Giraud</t>
  </si>
  <si>
    <t>Freb Hendrichsen</t>
  </si>
  <si>
    <r>
      <rPr>
        <b/>
        <sz val="16"/>
        <color rgb="FF000000"/>
        <rFont val="Tahoma"/>
      </rPr>
      <t xml:space="preserve"> Elisa Gianassi</t>
    </r>
    <r>
      <rPr>
        <b/>
        <sz val="16"/>
        <color rgb="FFFFFFFF"/>
        <rFont val="Tahoma"/>
      </rPr>
      <t xml:space="preserve"> </t>
    </r>
    <r>
      <rPr>
        <b/>
        <sz val="16"/>
        <color rgb="FFC00000"/>
        <rFont val="Tahoma"/>
      </rPr>
      <t>( 4 Room)</t>
    </r>
  </si>
  <si>
    <t>aitana pastor berbel</t>
  </si>
  <si>
    <t xml:space="preserve">Fernando Collantes Cortina </t>
  </si>
  <si>
    <t xml:space="preserve">Manuel Molesini </t>
  </si>
  <si>
    <t>Veronica Sala</t>
  </si>
  <si>
    <t xml:space="preserve">Klaudia Szymańska </t>
  </si>
  <si>
    <t>Elisa De Natale</t>
  </si>
  <si>
    <t xml:space="preserve">Jacklyn Karlinsky </t>
  </si>
  <si>
    <r>
      <rPr>
        <b/>
        <sz val="16"/>
        <color rgb="FF000000"/>
        <rFont val="Tahoma"/>
        <family val="2"/>
      </rPr>
      <t xml:space="preserve">Monica Battistelli </t>
    </r>
    <r>
      <rPr>
        <b/>
        <sz val="16"/>
        <color rgb="FFFF0000"/>
        <rFont val="Tahoma"/>
        <family val="2"/>
      </rPr>
      <t>( 2 room book )</t>
    </r>
  </si>
  <si>
    <t>AMPARO NAVARRO BAYO</t>
  </si>
  <si>
    <t>Tsung hua Tsai</t>
  </si>
  <si>
    <t>Daniela Amici1</t>
  </si>
  <si>
    <t>HSU CHIA HAO</t>
  </si>
  <si>
    <t>Giulia Lupo</t>
  </si>
  <si>
    <t>Quagliotti Brian</t>
  </si>
  <si>
    <r>
      <rPr>
        <b/>
        <sz val="16"/>
        <color rgb="FF000000"/>
        <rFont val="Tahoma"/>
      </rPr>
      <t xml:space="preserve">Fabiha Khan </t>
    </r>
    <r>
      <rPr>
        <b/>
        <sz val="16"/>
        <color rgb="FFC00000"/>
        <rFont val="Tahoma"/>
      </rPr>
      <t>( 3 Rooms )</t>
    </r>
  </si>
  <si>
    <t>Miren Arzuaga</t>
  </si>
  <si>
    <t xml:space="preserve">Fleur Van Der Pouw Kraan </t>
  </si>
  <si>
    <t>Tomo Kagoyama</t>
  </si>
  <si>
    <t>Monika Penkert</t>
  </si>
  <si>
    <t>Rose Julie Vander Gucht</t>
  </si>
  <si>
    <r>
      <rPr>
        <b/>
        <sz val="16"/>
        <color rgb="FF000000"/>
        <rFont val="Tahoma"/>
      </rPr>
      <t>Fabiha Khan</t>
    </r>
    <r>
      <rPr>
        <b/>
        <sz val="16"/>
        <color rgb="FFC00000"/>
        <rFont val="Tahoma"/>
      </rPr>
      <t xml:space="preserve"> ( 3 Rooms )</t>
    </r>
  </si>
  <si>
    <t>Wu Hanchien</t>
  </si>
  <si>
    <t>Paul Hayes</t>
  </si>
  <si>
    <r>
      <rPr>
        <b/>
        <sz val="16"/>
        <color rgb="FF000000"/>
        <rFont val="Tahoma"/>
      </rPr>
      <t xml:space="preserve">Deven MacEwen-Daljit </t>
    </r>
    <r>
      <rPr>
        <b/>
        <sz val="16"/>
        <color rgb="FFC00000"/>
        <rFont val="Tahoma"/>
      </rPr>
      <t>(2:00-3:00)pm</t>
    </r>
  </si>
  <si>
    <t>Zoya About Chaz</t>
  </si>
  <si>
    <t>CHIH YI HSU</t>
  </si>
  <si>
    <t>CHIUNG FANG TSAO</t>
  </si>
  <si>
    <r>
      <rPr>
        <b/>
        <sz val="14"/>
        <color rgb="FF000000"/>
        <rFont val="Tahoma"/>
      </rPr>
      <t xml:space="preserve">Samuel Montoya Serna </t>
    </r>
    <r>
      <rPr>
        <b/>
        <sz val="14"/>
        <color rgb="FFC00000"/>
        <rFont val="Tahoma"/>
      </rPr>
      <t xml:space="preserve"> (2 Rooms)</t>
    </r>
  </si>
  <si>
    <t>Juan Cortes</t>
  </si>
  <si>
    <t>Thomas Rühl</t>
  </si>
  <si>
    <t>Anne Van Ingelgom</t>
  </si>
  <si>
    <r>
      <rPr>
        <b/>
        <sz val="16"/>
        <color rgb="FF000000"/>
        <rFont val="Tahoma"/>
      </rPr>
      <t>Boonsod Ratchaporn</t>
    </r>
    <r>
      <rPr>
        <b/>
        <sz val="16"/>
        <color rgb="FFC00000"/>
        <rFont val="Tahoma"/>
      </rPr>
      <t xml:space="preserve"> (2 Rooms)</t>
    </r>
  </si>
  <si>
    <t>Charlie Gilbert</t>
  </si>
  <si>
    <t xml:space="preserve">YANN-SHAN TSAI </t>
  </si>
  <si>
    <t>Marina Tovar i Velasco</t>
  </si>
  <si>
    <r>
      <t>CHAOYI TSENG /</t>
    </r>
    <r>
      <rPr>
        <b/>
        <sz val="16"/>
        <color rgb="FFFF0000"/>
        <rFont val="Tahoma"/>
        <family val="2"/>
      </rPr>
      <t xml:space="preserve"> Quiet Room</t>
    </r>
  </si>
  <si>
    <t>ludivine mathieu</t>
  </si>
  <si>
    <r>
      <rPr>
        <b/>
        <sz val="14"/>
        <color rgb="FF000000"/>
        <rFont val="Tahoma"/>
      </rPr>
      <t xml:space="preserve">Samuel Montoya Serna  </t>
    </r>
    <r>
      <rPr>
        <b/>
        <sz val="14"/>
        <color rgb="FFC00000"/>
        <rFont val="Tahoma"/>
      </rPr>
      <t>(2 Rooms)</t>
    </r>
  </si>
  <si>
    <r>
      <t xml:space="preserve">Nyi Nyi Ye Yint </t>
    </r>
    <r>
      <rPr>
        <b/>
        <sz val="16"/>
        <color rgb="FFFF0000"/>
        <rFont val="Tahoma"/>
        <family val="2"/>
      </rPr>
      <t>/ 2 King 1 Twin</t>
    </r>
  </si>
  <si>
    <t>Jordan Ferns</t>
  </si>
  <si>
    <t>Ramona Zgraggen</t>
  </si>
  <si>
    <t>JUI JU LIANG</t>
  </si>
  <si>
    <t>Marius Manolache</t>
  </si>
  <si>
    <t>Courtney Puffer</t>
  </si>
  <si>
    <t xml:space="preserve">Fréderique Buijs </t>
  </si>
  <si>
    <t>Amanda Braun</t>
  </si>
  <si>
    <t xml:space="preserve">Nicholas Brookland </t>
  </si>
  <si>
    <t>Nacara Giménez</t>
  </si>
  <si>
    <r>
      <rPr>
        <b/>
        <sz val="16"/>
        <color rgb="FF000000"/>
        <rFont val="Tahoma"/>
      </rPr>
      <t xml:space="preserve">Samuel Montoya Serna </t>
    </r>
    <r>
      <rPr>
        <b/>
        <sz val="16"/>
        <color rgb="FFC00000"/>
        <rFont val="Tahoma"/>
      </rPr>
      <t>(2 Rooms)</t>
    </r>
  </si>
  <si>
    <t>Victor Manuel Martin Ruesga</t>
  </si>
  <si>
    <t>Gustavo Souza Silveira Martins</t>
  </si>
  <si>
    <t xml:space="preserve">Leon Wenda </t>
  </si>
  <si>
    <t>Ana Garcia Martinez</t>
  </si>
  <si>
    <t>Imanol Molfino</t>
  </si>
  <si>
    <r>
      <t xml:space="preserve">Nyi Nyi Ye Yint </t>
    </r>
    <r>
      <rPr>
        <b/>
        <sz val="16"/>
        <color rgb="FFFF0000"/>
        <rFont val="Tahoma"/>
        <family val="2"/>
      </rPr>
      <t xml:space="preserve"> / 2 King 1 Twin</t>
    </r>
  </si>
  <si>
    <r>
      <t xml:space="preserve">Felix Wulf </t>
    </r>
    <r>
      <rPr>
        <b/>
        <sz val="16"/>
        <color rgb="FFFF0000"/>
        <rFont val="Tahoma"/>
        <family val="2"/>
      </rPr>
      <t>(KING SIZE)</t>
    </r>
  </si>
  <si>
    <t>Rick van de Noort</t>
  </si>
  <si>
    <t>YAN RONG LIANG</t>
  </si>
  <si>
    <t>Maja Mannigel</t>
  </si>
  <si>
    <t>Jan Steinpreis</t>
  </si>
  <si>
    <t>Tiago Rodrigues</t>
  </si>
  <si>
    <t>Laura Carreira Galego</t>
  </si>
  <si>
    <t>Cristina Echart</t>
  </si>
  <si>
    <t>Chapado Arantxa</t>
  </si>
  <si>
    <t>YING CHI LIANG</t>
  </si>
  <si>
    <t xml:space="preserve">Livia Ferrer </t>
  </si>
  <si>
    <t>Christopher Harrison</t>
  </si>
  <si>
    <t>Giada Turbanti จำนวน 2 ห้อง</t>
  </si>
  <si>
    <t>Patryk Stawczyk</t>
  </si>
  <si>
    <t>Shwe Eain Si</t>
  </si>
  <si>
    <t>ShuMei Liao</t>
  </si>
  <si>
    <t>WU LINUNG</t>
  </si>
  <si>
    <t xml:space="preserve"> Felix Wulf</t>
  </si>
  <si>
    <t>Montserrat Jorge Estévez</t>
  </si>
  <si>
    <r>
      <rPr>
        <b/>
        <sz val="16"/>
        <color rgb="FF000000"/>
        <rFont val="Tahoma"/>
      </rPr>
      <t>Jolie Robinson</t>
    </r>
    <r>
      <rPr>
        <b/>
        <sz val="16"/>
        <color rgb="FFC00000"/>
        <rFont val="Tahoma"/>
      </rPr>
      <t xml:space="preserve"> (13:00-14:00)</t>
    </r>
  </si>
  <si>
    <t>Stephanie Gonzalez Cortina</t>
  </si>
  <si>
    <t xml:space="preserve">Valentina </t>
  </si>
  <si>
    <t>Kai Shan He</t>
  </si>
  <si>
    <t>Siti Sarah Hanim Zainal Effendy</t>
  </si>
  <si>
    <t>Nesrine Chafrar</t>
  </si>
  <si>
    <t>Jennifer Chang</t>
  </si>
  <si>
    <t>MASAICHI OTA</t>
  </si>
  <si>
    <t xml:space="preserve">CHEN HAO WU </t>
  </si>
  <si>
    <t>annete valakivi</t>
  </si>
  <si>
    <t>Victoria Angulatta</t>
  </si>
  <si>
    <t>Naree Van Zanen</t>
  </si>
  <si>
    <t>CHAOYI TSENG</t>
  </si>
  <si>
    <t>Cédric Dierckx</t>
  </si>
  <si>
    <t xml:space="preserve">羽靖 陳 </t>
  </si>
  <si>
    <t>Douglas Sick</t>
  </si>
  <si>
    <t>Laura Kuenzle</t>
  </si>
  <si>
    <t>Blanca Mar Hernandez Monroy</t>
  </si>
  <si>
    <t>Fangchu LIN</t>
  </si>
  <si>
    <t>Bence Fekete</t>
  </si>
  <si>
    <t xml:space="preserve">Wenhung </t>
  </si>
  <si>
    <t>Sue May</t>
  </si>
  <si>
    <t xml:space="preserve">Chiachi CHEN จำนวน 4 ห้อง </t>
  </si>
  <si>
    <t>Aurora Cabrera</t>
  </si>
  <si>
    <t>Kantaya Khaoto</t>
  </si>
  <si>
    <t>ROMAN RAKOWSKI</t>
  </si>
  <si>
    <r>
      <rPr>
        <b/>
        <sz val="16"/>
        <color rgb="FF000000"/>
        <rFont val="Tahoma"/>
      </rPr>
      <t xml:space="preserve"> Rafael Faber</t>
    </r>
    <r>
      <rPr>
        <b/>
        <sz val="16"/>
        <color rgb="FFFF0000"/>
        <rFont val="Tahoma"/>
      </rPr>
      <t xml:space="preserve"> ( 2 Room)</t>
    </r>
  </si>
  <si>
    <t>Özlem Terli</t>
  </si>
  <si>
    <r>
      <rPr>
        <b/>
        <sz val="16"/>
        <color rgb="FF000000"/>
        <rFont val="Tahoma"/>
        <family val="2"/>
      </rPr>
      <t xml:space="preserve">Louisa North ODonnell </t>
    </r>
    <r>
      <rPr>
        <b/>
        <sz val="16"/>
        <color rgb="FFFF0000"/>
        <rFont val="Tahoma"/>
        <family val="2"/>
      </rPr>
      <t>(2 room book)</t>
    </r>
  </si>
  <si>
    <t>Connery Natalya</t>
  </si>
  <si>
    <t>Chi Tsung Kuo</t>
  </si>
  <si>
    <t>CHIA YUN CHUNG</t>
  </si>
  <si>
    <t>Philip Port</t>
  </si>
  <si>
    <r>
      <rPr>
        <b/>
        <sz val="16"/>
        <color rgb="FFFFFFFF"/>
        <rFont val="Tahoma"/>
      </rPr>
      <t xml:space="preserve"> </t>
    </r>
    <r>
      <rPr>
        <b/>
        <sz val="16"/>
        <color rgb="FF000000"/>
        <rFont val="Tahoma"/>
      </rPr>
      <t xml:space="preserve"> Rafael Faber </t>
    </r>
    <r>
      <rPr>
        <b/>
        <sz val="16"/>
        <color rgb="FFFF0000"/>
        <rFont val="Tahoma"/>
      </rPr>
      <t>( 2 Room)</t>
    </r>
  </si>
  <si>
    <t>olly merchant</t>
  </si>
  <si>
    <t>ARATA MIYOSHI</t>
  </si>
  <si>
    <t>Natalia Czubak</t>
  </si>
  <si>
    <t>Lara Bedel</t>
  </si>
  <si>
    <t>christopher Woody</t>
  </si>
  <si>
    <r>
      <rPr>
        <b/>
        <sz val="16"/>
        <color rgb="FF000000"/>
        <rFont val="Tahoma"/>
      </rPr>
      <t xml:space="preserve">Jana Bosmans  </t>
    </r>
    <r>
      <rPr>
        <b/>
        <sz val="16"/>
        <color rgb="FFC00000"/>
        <rFont val="Tahoma"/>
      </rPr>
      <t>Arrive morning 0f 27/12</t>
    </r>
  </si>
  <si>
    <t>Hieber Alena</t>
  </si>
  <si>
    <t>Ian Savage</t>
  </si>
  <si>
    <t>Farzam Karimi</t>
  </si>
  <si>
    <t>Célestine Gonzalez</t>
  </si>
  <si>
    <t>sasa Lin</t>
  </si>
  <si>
    <t>Natacha Fleurant</t>
  </si>
  <si>
    <t>lee southern</t>
  </si>
  <si>
    <t>Jason Dawson</t>
  </si>
  <si>
    <t xml:space="preserve">CHIA YUN CHUNG </t>
  </si>
  <si>
    <t xml:space="preserve">Dylan Smith </t>
  </si>
  <si>
    <t>Farah Mendes</t>
  </si>
  <si>
    <t>ines saddouk</t>
  </si>
  <si>
    <t>Sara Romero</t>
  </si>
  <si>
    <t xml:space="preserve">Lewis Smith </t>
  </si>
  <si>
    <t>Wenhung Gu</t>
  </si>
  <si>
    <t>CHEN YUAN</t>
  </si>
  <si>
    <t xml:space="preserve">Gabriela Berar </t>
  </si>
  <si>
    <t>Tarcia Leitao</t>
  </si>
  <si>
    <t>Simona Pesce</t>
  </si>
  <si>
    <t>Greta Giacomelli</t>
  </si>
  <si>
    <t xml:space="preserve">Leon Barnett </t>
  </si>
  <si>
    <t>Matilda Feast</t>
  </si>
  <si>
    <t>Matthew Shermon</t>
  </si>
  <si>
    <r>
      <rPr>
        <b/>
        <sz val="16"/>
        <color rgb="FF000000"/>
        <rFont val="Tahoma"/>
      </rPr>
      <t>Paige Haughney</t>
    </r>
    <r>
      <rPr>
        <b/>
        <sz val="16"/>
        <color rgb="FFC00000"/>
        <rFont val="Tahoma"/>
      </rPr>
      <t xml:space="preserve"> (2 Booking)</t>
    </r>
  </si>
  <si>
    <t>Frances Flores</t>
  </si>
  <si>
    <t>Wilson Isabel</t>
  </si>
  <si>
    <t>Catalina Ortiz</t>
  </si>
  <si>
    <t>Howl Ashley</t>
  </si>
  <si>
    <t>Brahem Sarah</t>
  </si>
  <si>
    <t>Muriel Henderson</t>
  </si>
  <si>
    <t>Klaudia Piotrowska</t>
  </si>
  <si>
    <t>Claudia Brescia</t>
  </si>
  <si>
    <t>Zhiyun Lian</t>
  </si>
  <si>
    <t>Renata Lara</t>
  </si>
  <si>
    <t>zeynep çelen</t>
  </si>
  <si>
    <r>
      <rPr>
        <b/>
        <sz val="16"/>
        <color rgb="FFFFFFFF"/>
        <rFont val="Tahoma"/>
      </rPr>
      <t xml:space="preserve"> </t>
    </r>
    <r>
      <rPr>
        <b/>
        <sz val="16"/>
        <color rgb="FF000000"/>
        <rFont val="Tahoma"/>
      </rPr>
      <t>YIJUNG YANG</t>
    </r>
    <r>
      <rPr>
        <b/>
        <sz val="16"/>
        <color rgb="FFC00000"/>
        <rFont val="Tahoma"/>
      </rPr>
      <t xml:space="preserve"> (2 Booking)</t>
    </r>
  </si>
  <si>
    <t>YIJUNG YANG  x 2 Deluxe Room</t>
  </si>
  <si>
    <t>Dylan Smith</t>
  </si>
  <si>
    <t>song kyoungeun</t>
  </si>
  <si>
    <t>Curtis Clarke</t>
  </si>
  <si>
    <t>TZU-YUN YU</t>
  </si>
  <si>
    <t>Yi Hsiu Tsai</t>
  </si>
  <si>
    <t>flora mancini</t>
  </si>
  <si>
    <t>Andrew Funnell</t>
  </si>
  <si>
    <t xml:space="preserve">Rosanne Walker </t>
  </si>
  <si>
    <r>
      <rPr>
        <b/>
        <sz val="16"/>
        <color rgb="FFFFFFFF"/>
        <rFont val="Tahoma"/>
      </rPr>
      <t xml:space="preserve"> </t>
    </r>
    <r>
      <rPr>
        <b/>
        <sz val="16"/>
        <color rgb="FF000000"/>
        <rFont val="Tahoma"/>
      </rPr>
      <t>Selina Wanner</t>
    </r>
  </si>
  <si>
    <t>Olti Istvan</t>
  </si>
  <si>
    <t xml:space="preserve">Adam Burrage </t>
  </si>
  <si>
    <r>
      <t xml:space="preserve">Johanna Tamina Freyburg  </t>
    </r>
    <r>
      <rPr>
        <b/>
        <sz val="16"/>
        <color rgb="FFFF0000"/>
        <rFont val="Tahoma"/>
        <family val="2"/>
      </rPr>
      <t>3 rooms</t>
    </r>
  </si>
  <si>
    <t>Heidy Rebane</t>
  </si>
  <si>
    <t xml:space="preserve">Quinty van Eijndt </t>
  </si>
  <si>
    <t>Jason Jarvis</t>
  </si>
  <si>
    <t>qinghui Zeng</t>
  </si>
  <si>
    <t>Thomas Maeuser</t>
  </si>
  <si>
    <t>Chunni Chou</t>
  </si>
  <si>
    <t>Shannan Markowski</t>
  </si>
  <si>
    <t>Adam Burrage</t>
  </si>
  <si>
    <r>
      <t xml:space="preserve">Johanna Tamina Freyburg </t>
    </r>
    <r>
      <rPr>
        <b/>
        <sz val="16"/>
        <color rgb="FFFF0000"/>
        <rFont val="Tahoma"/>
        <family val="2"/>
      </rPr>
      <t xml:space="preserve"> 3 rooms</t>
    </r>
  </si>
  <si>
    <t>Ramunas Birstonas</t>
  </si>
  <si>
    <r>
      <rPr>
        <b/>
        <sz val="16"/>
        <color rgb="FF000000"/>
        <rFont val="Tahoma"/>
      </rPr>
      <t>YULING LIN</t>
    </r>
    <r>
      <rPr>
        <b/>
        <sz val="16"/>
        <color rgb="FFC00000"/>
        <rFont val="Tahoma"/>
      </rPr>
      <t xml:space="preserve"> (Arrive 4/2/2026 aroung 01:00AM)</t>
    </r>
  </si>
  <si>
    <t>KYOKO OTA</t>
  </si>
  <si>
    <t>Katherine Fotiu</t>
  </si>
  <si>
    <t>Christoph Koerfer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</si>
</sst>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0"/>
      <name val="Arial"/>
      <charset val="222"/>
    </font>
    <font>
      <sz val="11"/>
      <color theme="1"/>
      <name val="Calibri"/>
      <family val="2"/>
      <charset val="22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20"/>
      <color theme="1"/>
      <name val="Tahoma"/>
      <family val="2"/>
    </font>
    <font>
      <b/>
      <sz val="16"/>
      <color rgb="FF000000"/>
      <name val="Tahoma"/>
      <family val="2"/>
    </font>
    <font>
      <b/>
      <sz val="18"/>
      <color theme="1"/>
      <name val="Tahoma"/>
      <family val="2"/>
    </font>
    <font>
      <b/>
      <sz val="16"/>
      <name val="Tahoma"/>
      <family val="2"/>
    </font>
    <font>
      <b/>
      <sz val="16"/>
      <color theme="1"/>
      <name val="Tahoma"/>
      <family val="2"/>
    </font>
    <font>
      <b/>
      <sz val="16"/>
      <color theme="0"/>
      <name val="Tahoma"/>
      <family val="2"/>
    </font>
    <font>
      <b/>
      <u/>
      <sz val="18"/>
      <color theme="1"/>
      <name val="Tahoma"/>
      <family val="2"/>
    </font>
    <font>
      <b/>
      <u/>
      <sz val="20"/>
      <color theme="1"/>
      <name val="Tahoma"/>
      <family val="2"/>
    </font>
    <font>
      <b/>
      <sz val="20"/>
      <color theme="0"/>
      <name val="Tahoma"/>
      <family val="2"/>
    </font>
    <font>
      <b/>
      <sz val="20"/>
      <color rgb="FF000000"/>
      <name val="Tahoma"/>
      <family val="2"/>
    </font>
    <font>
      <b/>
      <sz val="22"/>
      <color theme="1"/>
      <name val="Tahoma"/>
      <family val="2"/>
    </font>
    <font>
      <b/>
      <sz val="16"/>
      <color rgb="FFFF0000"/>
      <name val="Tahoma"/>
      <family val="2"/>
    </font>
    <font>
      <sz val="18"/>
      <name val="Tahoma"/>
      <family val="2"/>
    </font>
    <font>
      <b/>
      <sz val="18"/>
      <name val="Tahoma"/>
      <family val="2"/>
    </font>
    <font>
      <b/>
      <sz val="18"/>
      <color theme="0"/>
      <name val="Tahoma"/>
      <family val="2"/>
    </font>
    <font>
      <b/>
      <sz val="18"/>
      <color rgb="FFFF0000"/>
      <name val="Tahoma"/>
      <family val="2"/>
    </font>
    <font>
      <b/>
      <sz val="18"/>
      <color rgb="FF000000"/>
      <name val="Tahoma"/>
      <family val="2"/>
    </font>
    <font>
      <sz val="10"/>
      <name val="Tahoma"/>
      <family val="2"/>
    </font>
    <font>
      <b/>
      <sz val="26"/>
      <name val="Tahoma"/>
      <family val="2"/>
    </font>
    <font>
      <sz val="16"/>
      <name val="Tahoma"/>
      <family val="2"/>
    </font>
    <font>
      <b/>
      <sz val="20"/>
      <color rgb="FFFF0000"/>
      <name val="Tahoma"/>
      <family val="2"/>
    </font>
    <font>
      <b/>
      <u/>
      <sz val="16"/>
      <color theme="0"/>
      <name val="Tahoma"/>
      <family val="2"/>
    </font>
    <font>
      <b/>
      <sz val="18"/>
      <color indexed="81"/>
      <name val="Tahoma"/>
      <family val="2"/>
    </font>
    <font>
      <b/>
      <u/>
      <sz val="16"/>
      <color theme="1"/>
      <name val="Tahoma"/>
      <family val="2"/>
    </font>
    <font>
      <b/>
      <u/>
      <sz val="16"/>
      <color rgb="FF000000"/>
      <name val="Tahoma"/>
      <family val="2"/>
    </font>
    <font>
      <b/>
      <u/>
      <sz val="16"/>
      <color rgb="FFFF0000"/>
      <name val="Tahoma"/>
      <family val="2"/>
    </font>
    <font>
      <b/>
      <u/>
      <sz val="16"/>
      <color rgb="FFFFFFFF"/>
      <name val="Tahoma"/>
      <family val="2"/>
    </font>
    <font>
      <sz val="18"/>
      <color indexed="81"/>
      <name val="Tahoma"/>
      <family val="2"/>
    </font>
    <font>
      <b/>
      <sz val="28"/>
      <name val="Tahoma"/>
      <family val="2"/>
    </font>
    <font>
      <b/>
      <sz val="20"/>
      <color indexed="81"/>
      <name val="Tahoma"/>
      <family val="2"/>
    </font>
    <font>
      <b/>
      <u/>
      <sz val="20"/>
      <color rgb="FFFF0000"/>
      <name val="Tahoma"/>
      <family val="2"/>
    </font>
    <font>
      <b/>
      <sz val="16"/>
      <color rgb="FFFFFFFF"/>
      <name val="Tahoma"/>
      <family val="2"/>
    </font>
    <font>
      <b/>
      <sz val="18"/>
      <color rgb="FFFFFFFF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b/>
      <sz val="18"/>
      <color rgb="FF000000"/>
      <name val="Arial"/>
      <family val="2"/>
    </font>
    <font>
      <b/>
      <sz val="18"/>
      <color rgb="FFFF0000"/>
      <name val="Arial"/>
      <family val="2"/>
    </font>
    <font>
      <b/>
      <sz val="20"/>
      <color theme="1"/>
      <name val="Calibri"/>
      <family val="2"/>
      <scheme val="minor"/>
    </font>
    <font>
      <b/>
      <u/>
      <sz val="18"/>
      <color rgb="FF000000"/>
      <name val="Tahoma"/>
      <family val="2"/>
    </font>
    <font>
      <b/>
      <u/>
      <sz val="18"/>
      <color theme="0"/>
      <name val="Tahoma"/>
      <family val="2"/>
    </font>
    <font>
      <b/>
      <sz val="20"/>
      <color rgb="FFFFFFFF"/>
      <name val="Tahoma"/>
      <family val="2"/>
    </font>
    <font>
      <b/>
      <sz val="16"/>
      <color rgb="FF262626"/>
      <name val="Tahoma"/>
      <family val="2"/>
    </font>
    <font>
      <b/>
      <sz val="16"/>
      <color rgb="FF000000"/>
      <name val="Tahoma"/>
    </font>
    <font>
      <b/>
      <sz val="16"/>
      <color rgb="FFFF0000"/>
      <name val="Tahoma"/>
    </font>
    <font>
      <b/>
      <sz val="16"/>
      <color rgb="FFFFFFFF"/>
      <name val="Tahoma"/>
    </font>
    <font>
      <b/>
      <sz val="16"/>
      <color theme="0"/>
      <name val="Tahoma"/>
    </font>
    <font>
      <b/>
      <sz val="16"/>
      <color theme="1"/>
      <name val="Tahoma"/>
    </font>
    <font>
      <b/>
      <sz val="16"/>
      <color rgb="FFD8E4BC"/>
      <name val="Tahoma"/>
      <family val="2"/>
    </font>
    <font>
      <b/>
      <sz val="16"/>
      <color rgb="FFC00000"/>
      <name val="Tahoma"/>
    </font>
    <font>
      <b/>
      <sz val="18"/>
      <color rgb="FFC00000"/>
      <name val="Tahoma"/>
      <family val="2"/>
    </font>
    <font>
      <b/>
      <sz val="16"/>
      <color rgb="FF000000"/>
      <name val="Tahoma"/>
      <charset val="1"/>
    </font>
    <font>
      <b/>
      <sz val="20"/>
      <color rgb="FF000000"/>
      <name val="Tahoma"/>
      <charset val="1"/>
    </font>
    <font>
      <b/>
      <sz val="14"/>
      <color rgb="FF000000"/>
      <name val="Tahoma"/>
    </font>
    <font>
      <b/>
      <sz val="14"/>
      <color rgb="FFC00000"/>
      <name val="Tahoma"/>
    </font>
    <font>
      <b/>
      <sz val="14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5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17" borderId="0" applyNumberFormat="0" applyBorder="0" applyAlignment="0" applyProtection="0"/>
  </cellStyleXfs>
  <cellXfs count="683">
    <xf numFmtId="0" fontId="0" fillId="0" borderId="0" xfId="0"/>
    <xf numFmtId="0" fontId="8" fillId="1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0" borderId="0" xfId="0" applyFont="1"/>
    <xf numFmtId="0" fontId="17" fillId="2" borderId="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1" fillId="0" borderId="0" xfId="0" applyFont="1"/>
    <xf numFmtId="0" fontId="7" fillId="2" borderId="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9" fontId="22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vertical="center" wrapText="1"/>
    </xf>
    <xf numFmtId="0" fontId="8" fillId="13" borderId="1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13" borderId="49" xfId="0" applyFont="1" applyFill="1" applyBorder="1" applyAlignment="1">
      <alignment horizontal="center" vertical="center" wrapText="1"/>
    </xf>
    <xf numFmtId="0" fontId="8" fillId="13" borderId="44" xfId="0" applyFont="1" applyFill="1" applyBorder="1" applyAlignment="1">
      <alignment horizontal="center" vertical="center" wrapText="1"/>
    </xf>
    <xf numFmtId="0" fontId="9" fillId="13" borderId="47" xfId="0" applyFont="1" applyFill="1" applyBorder="1" applyAlignment="1">
      <alignment horizontal="center" vertical="center" wrapText="1"/>
    </xf>
    <xf numFmtId="0" fontId="5" fillId="13" borderId="4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9" fontId="32" fillId="0" borderId="0" xfId="1" applyFont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0" fontId="4" fillId="13" borderId="53" xfId="0" applyFont="1" applyFill="1" applyBorder="1" applyAlignment="1">
      <alignment horizontal="center" vertical="center" wrapText="1"/>
    </xf>
    <xf numFmtId="0" fontId="8" fillId="13" borderId="51" xfId="0" applyFont="1" applyFill="1" applyBorder="1" applyAlignment="1">
      <alignment horizontal="center" vertical="center" wrapText="1"/>
    </xf>
    <xf numFmtId="0" fontId="8" fillId="13" borderId="48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9" fillId="13" borderId="3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3" borderId="24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8" fillId="8" borderId="48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13" borderId="64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45" fillId="8" borderId="13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6" fillId="13" borderId="13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13" borderId="24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47" fillId="14" borderId="11" xfId="0" applyFont="1" applyFill="1" applyBorder="1" applyAlignment="1">
      <alignment horizontal="center" vertical="center" wrapText="1"/>
    </xf>
    <xf numFmtId="0" fontId="8" fillId="13" borderId="3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5" fillId="14" borderId="32" xfId="0" applyFont="1" applyFill="1" applyBorder="1" applyAlignment="1">
      <alignment horizontal="center" vertical="center" wrapText="1"/>
    </xf>
    <xf numFmtId="0" fontId="49" fillId="13" borderId="13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6" fillId="13" borderId="16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13" borderId="64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47" fillId="10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5" fillId="14" borderId="30" xfId="0" applyFont="1" applyFill="1" applyBorder="1" applyAlignment="1">
      <alignment horizontal="center" vertical="center" wrapText="1"/>
    </xf>
    <xf numFmtId="0" fontId="47" fillId="10" borderId="27" xfId="0" applyFont="1" applyFill="1" applyBorder="1" applyAlignment="1">
      <alignment horizontal="center" vertical="center" wrapText="1"/>
    </xf>
    <xf numFmtId="0" fontId="55" fillId="14" borderId="0" xfId="0" applyFont="1" applyFill="1" applyAlignment="1">
      <alignment horizont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5" fillId="13" borderId="27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46" fillId="14" borderId="5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4" fillId="14" borderId="33" xfId="0" applyFont="1" applyFill="1" applyBorder="1" applyAlignment="1">
      <alignment horizontal="center" vertical="center" wrapText="1"/>
    </xf>
    <xf numFmtId="0" fontId="5" fillId="14" borderId="34" xfId="0" applyFont="1" applyFill="1" applyBorder="1" applyAlignment="1">
      <alignment horizontal="center" vertical="center" wrapText="1"/>
    </xf>
    <xf numFmtId="0" fontId="5" fillId="14" borderId="3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4" borderId="25" xfId="0" applyFont="1" applyFill="1" applyBorder="1" applyAlignment="1">
      <alignment horizontal="center" vertical="center" wrapText="1"/>
    </xf>
    <xf numFmtId="0" fontId="5" fillId="14" borderId="26" xfId="0" applyFont="1" applyFill="1" applyBorder="1" applyAlignment="1">
      <alignment horizontal="center" vertical="center" wrapText="1"/>
    </xf>
    <xf numFmtId="0" fontId="5" fillId="14" borderId="3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4" borderId="27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5" fillId="10" borderId="24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5" fillId="14" borderId="69" xfId="0" applyFont="1" applyFill="1" applyBorder="1" applyAlignment="1">
      <alignment horizontal="center" vertical="center" wrapText="1"/>
    </xf>
    <xf numFmtId="0" fontId="9" fillId="14" borderId="70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46" fillId="14" borderId="41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5" fillId="10" borderId="33" xfId="0" applyFont="1" applyFill="1" applyBorder="1" applyAlignment="1">
      <alignment horizontal="center" vertical="center" wrapText="1"/>
    </xf>
    <xf numFmtId="0" fontId="5" fillId="10" borderId="35" xfId="0" applyFont="1" applyFill="1" applyBorder="1" applyAlignment="1">
      <alignment horizontal="center" vertical="center" wrapText="1"/>
    </xf>
    <xf numFmtId="0" fontId="50" fillId="14" borderId="25" xfId="0" applyFont="1" applyFill="1" applyBorder="1" applyAlignment="1">
      <alignment horizontal="center" vertical="center" wrapText="1"/>
    </xf>
    <xf numFmtId="0" fontId="8" fillId="14" borderId="25" xfId="0" applyFont="1" applyFill="1" applyBorder="1" applyAlignment="1">
      <alignment horizontal="center" vertical="center" wrapText="1"/>
    </xf>
    <xf numFmtId="0" fontId="8" fillId="14" borderId="2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8" fillId="8" borderId="64" xfId="0" applyFont="1" applyFill="1" applyBorder="1" applyAlignment="1">
      <alignment horizontal="center" vertical="center" wrapText="1"/>
    </xf>
    <xf numFmtId="0" fontId="5" fillId="14" borderId="59" xfId="0" applyFont="1" applyFill="1" applyBorder="1" applyAlignment="1">
      <alignment horizontal="center" vertical="center" wrapText="1"/>
    </xf>
    <xf numFmtId="0" fontId="5" fillId="14" borderId="16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5" fillId="14" borderId="41" xfId="0" applyFont="1" applyFill="1" applyBorder="1" applyAlignment="1">
      <alignment horizontal="center" vertical="center" wrapText="1"/>
    </xf>
    <xf numFmtId="0" fontId="5" fillId="14" borderId="52" xfId="0" applyFont="1" applyFill="1" applyBorder="1" applyAlignment="1">
      <alignment horizontal="center" vertical="center" wrapText="1"/>
    </xf>
    <xf numFmtId="0" fontId="8" fillId="8" borderId="46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8" fillId="8" borderId="5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5" fillId="8" borderId="3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50" fillId="8" borderId="26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horizontal="center" vertical="center" wrapText="1"/>
    </xf>
    <xf numFmtId="0" fontId="5" fillId="14" borderId="64" xfId="0" applyFont="1" applyFill="1" applyBorder="1" applyAlignment="1">
      <alignment horizontal="center" vertical="center" wrapText="1"/>
    </xf>
    <xf numFmtId="0" fontId="46" fillId="14" borderId="14" xfId="0" applyFont="1" applyFill="1" applyBorder="1" applyAlignment="1">
      <alignment horizontal="center" vertical="center" wrapText="1"/>
    </xf>
    <xf numFmtId="0" fontId="5" fillId="8" borderId="57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46" fillId="14" borderId="21" xfId="0" applyFont="1" applyFill="1" applyBorder="1" applyAlignment="1">
      <alignment horizontal="center" vertical="center" wrapText="1"/>
    </xf>
    <xf numFmtId="0" fontId="5" fillId="14" borderId="24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5" fillId="12" borderId="33" xfId="0" applyFont="1" applyFill="1" applyBorder="1" applyAlignment="1">
      <alignment horizontal="center" vertical="center" wrapText="1"/>
    </xf>
    <xf numFmtId="0" fontId="5" fillId="12" borderId="35" xfId="0" applyFont="1" applyFill="1" applyBorder="1" applyAlignment="1">
      <alignment horizontal="center" vertical="center" wrapText="1"/>
    </xf>
    <xf numFmtId="0" fontId="46" fillId="10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5" fillId="14" borderId="33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46" fillId="8" borderId="5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46" fillId="14" borderId="13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50" fillId="8" borderId="7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8" fillId="14" borderId="22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 wrapText="1"/>
    </xf>
    <xf numFmtId="0" fontId="5" fillId="14" borderId="60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2" fillId="8" borderId="4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6" fillId="8" borderId="37" xfId="0" applyFont="1" applyFill="1" applyBorder="1" applyAlignment="1">
      <alignment horizontal="center" vertical="center" wrapText="1"/>
    </xf>
    <xf numFmtId="0" fontId="6" fillId="8" borderId="46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3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8" fillId="8" borderId="38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center" vertical="center" wrapText="1"/>
    </xf>
    <xf numFmtId="0" fontId="27" fillId="8" borderId="12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8" fillId="8" borderId="33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52" xfId="0" applyFont="1" applyFill="1" applyBorder="1" applyAlignment="1">
      <alignment horizontal="center" vertical="center" wrapText="1"/>
    </xf>
    <xf numFmtId="0" fontId="27" fillId="8" borderId="33" xfId="0" applyFont="1" applyFill="1" applyBorder="1" applyAlignment="1">
      <alignment horizontal="center" vertical="center" wrapText="1"/>
    </xf>
    <xf numFmtId="0" fontId="27" fillId="8" borderId="34" xfId="0" applyFont="1" applyFill="1" applyBorder="1" applyAlignment="1">
      <alignment horizontal="center" vertical="center" wrapText="1"/>
    </xf>
    <xf numFmtId="0" fontId="27" fillId="8" borderId="35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 wrapText="1"/>
    </xf>
    <xf numFmtId="0" fontId="27" fillId="8" borderId="15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wrapText="1"/>
    </xf>
    <xf numFmtId="0" fontId="5" fillId="8" borderId="41" xfId="0" applyFont="1" applyFill="1" applyBorder="1" applyAlignment="1">
      <alignment horizontal="center" vertical="center" wrapText="1"/>
    </xf>
    <xf numFmtId="0" fontId="8" fillId="8" borderId="39" xfId="0" applyFont="1" applyFill="1" applyBorder="1" applyAlignment="1">
      <alignment horizontal="center" vertical="center" wrapText="1"/>
    </xf>
    <xf numFmtId="0" fontId="39" fillId="8" borderId="14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 wrapText="1"/>
    </xf>
    <xf numFmtId="0" fontId="4" fillId="8" borderId="41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52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8" fillId="8" borderId="57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45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6" fillId="8" borderId="45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center" vertical="center" wrapText="1"/>
    </xf>
    <xf numFmtId="0" fontId="8" fillId="8" borderId="40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0" fontId="25" fillId="8" borderId="9" xfId="0" applyFont="1" applyFill="1" applyBorder="1" applyAlignment="1">
      <alignment horizontal="center" vertical="center" wrapText="1"/>
    </xf>
    <xf numFmtId="0" fontId="6" fillId="8" borderId="40" xfId="0" applyFont="1" applyFill="1" applyBorder="1" applyAlignment="1">
      <alignment horizontal="center" vertical="center" wrapText="1"/>
    </xf>
    <xf numFmtId="0" fontId="9" fillId="8" borderId="35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13" fillId="8" borderId="31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8" borderId="21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 wrapText="1"/>
    </xf>
    <xf numFmtId="0" fontId="8" fillId="8" borderId="61" xfId="0" applyFont="1" applyFill="1" applyBorder="1" applyAlignment="1">
      <alignment horizontal="center" vertical="center" wrapText="1"/>
    </xf>
    <xf numFmtId="0" fontId="8" fillId="8" borderId="62" xfId="0" applyFont="1" applyFill="1" applyBorder="1" applyAlignment="1">
      <alignment horizontal="center" vertical="center" wrapText="1"/>
    </xf>
    <xf numFmtId="0" fontId="8" fillId="8" borderId="59" xfId="0" applyFont="1" applyFill="1" applyBorder="1" applyAlignment="1">
      <alignment horizontal="center" vertical="center" wrapText="1"/>
    </xf>
    <xf numFmtId="0" fontId="8" fillId="8" borderId="60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18" fillId="8" borderId="27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6" fillId="8" borderId="54" xfId="0" applyFont="1" applyFill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49" xfId="0" applyFont="1" applyFill="1" applyBorder="1" applyAlignment="1">
      <alignment horizontal="center" vertical="center" wrapText="1"/>
    </xf>
    <xf numFmtId="0" fontId="6" fillId="8" borderId="44" xfId="0" applyFont="1" applyFill="1" applyBorder="1" applyAlignment="1">
      <alignment horizontal="center" vertical="center" wrapText="1"/>
    </xf>
    <xf numFmtId="0" fontId="6" fillId="8" borderId="58" xfId="0" applyFont="1" applyFill="1" applyBorder="1" applyAlignment="1">
      <alignment horizontal="center" vertical="center" wrapText="1"/>
    </xf>
    <xf numFmtId="0" fontId="6" fillId="8" borderId="51" xfId="0" applyFont="1" applyFill="1" applyBorder="1" applyAlignment="1">
      <alignment horizontal="center" vertical="center" wrapText="1"/>
    </xf>
    <xf numFmtId="0" fontId="20" fillId="8" borderId="55" xfId="0" applyFont="1" applyFill="1" applyBorder="1" applyAlignment="1">
      <alignment horizontal="center" vertical="center" wrapText="1"/>
    </xf>
    <xf numFmtId="0" fontId="18" fillId="8" borderId="56" xfId="0" applyFont="1" applyFill="1" applyBorder="1" applyAlignment="1">
      <alignment horizontal="center" vertical="center" wrapText="1"/>
    </xf>
    <xf numFmtId="0" fontId="18" fillId="8" borderId="43" xfId="0" applyFont="1" applyFill="1" applyBorder="1" applyAlignment="1">
      <alignment horizontal="center" vertical="center" wrapText="1"/>
    </xf>
    <xf numFmtId="0" fontId="18" fillId="8" borderId="63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20" fillId="8" borderId="20" xfId="0" applyFont="1" applyFill="1" applyBorder="1" applyAlignment="1">
      <alignment horizontal="center" vertical="center" wrapText="1"/>
    </xf>
    <xf numFmtId="0" fontId="18" fillId="8" borderId="25" xfId="0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42" fillId="8" borderId="0" xfId="0" applyFont="1" applyFill="1" applyAlignment="1">
      <alignment horizontal="center" vertical="center" wrapText="1"/>
    </xf>
    <xf numFmtId="0" fontId="43" fillId="8" borderId="0" xfId="0" applyFont="1" applyFill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9" fillId="8" borderId="50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1" fillId="17" borderId="5" xfId="2" applyFont="1" applyBorder="1" applyAlignment="1">
      <alignment horizontal="center" vertical="center" wrapText="1"/>
    </xf>
    <xf numFmtId="0" fontId="41" fillId="17" borderId="2" xfId="2" applyFont="1" applyBorder="1" applyAlignment="1">
      <alignment horizontal="center" vertical="center" wrapText="1"/>
    </xf>
    <xf numFmtId="0" fontId="41" fillId="17" borderId="6" xfId="2" applyFont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0" fontId="25" fillId="8" borderId="11" xfId="0" applyFont="1" applyFill="1" applyBorder="1" applyAlignment="1">
      <alignment horizontal="center" vertical="center" wrapText="1"/>
    </xf>
    <xf numFmtId="0" fontId="25" fillId="8" borderId="12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28" fillId="14" borderId="5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28" fillId="14" borderId="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8" fillId="8" borderId="55" xfId="0" applyFont="1" applyFill="1" applyBorder="1" applyAlignment="1">
      <alignment horizontal="center" vertical="center" wrapText="1"/>
    </xf>
    <xf numFmtId="0" fontId="8" fillId="8" borderId="65" xfId="0" applyFont="1" applyFill="1" applyBorder="1" applyAlignment="1">
      <alignment horizontal="center" vertical="center" wrapText="1"/>
    </xf>
    <xf numFmtId="0" fontId="8" fillId="8" borderId="66" xfId="0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5" fillId="8" borderId="34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7" fillId="8" borderId="31" xfId="0" applyFont="1" applyFill="1" applyBorder="1" applyAlignment="1">
      <alignment horizontal="center" vertical="center" wrapText="1"/>
    </xf>
    <xf numFmtId="0" fontId="27" fillId="8" borderId="24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15" borderId="22" xfId="0" applyFont="1" applyFill="1" applyBorder="1" applyAlignment="1">
      <alignment horizontal="center" vertical="center" wrapText="1"/>
    </xf>
    <xf numFmtId="0" fontId="8" fillId="15" borderId="25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9" fillId="8" borderId="64" xfId="0" applyFont="1" applyFill="1" applyBorder="1" applyAlignment="1">
      <alignment horizontal="center" vertical="center" wrapText="1"/>
    </xf>
    <xf numFmtId="0" fontId="49" fillId="14" borderId="13" xfId="0" applyFont="1" applyFill="1" applyBorder="1" applyAlignment="1">
      <alignment horizontal="center" vertical="center" wrapText="1"/>
    </xf>
    <xf numFmtId="0" fontId="9" fillId="14" borderId="16" xfId="0" applyFont="1" applyFill="1" applyBorder="1" applyAlignment="1">
      <alignment horizontal="center" vertical="center" wrapText="1"/>
    </xf>
    <xf numFmtId="0" fontId="9" fillId="14" borderId="20" xfId="0" applyFont="1" applyFill="1" applyBorder="1" applyAlignment="1">
      <alignment horizontal="center" vertical="center" wrapText="1"/>
    </xf>
    <xf numFmtId="0" fontId="46" fillId="14" borderId="31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9" fillId="14" borderId="34" xfId="0" applyFont="1" applyFill="1" applyBorder="1" applyAlignment="1">
      <alignment horizontal="center" vertical="center" wrapText="1"/>
    </xf>
    <xf numFmtId="0" fontId="9" fillId="14" borderId="35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46" fillId="15" borderId="19" xfId="0" applyFont="1" applyFill="1" applyBorder="1" applyAlignment="1">
      <alignment horizontal="center" vertical="center" wrapText="1"/>
    </xf>
    <xf numFmtId="0" fontId="9" fillId="15" borderId="18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15" borderId="64" xfId="0" applyFont="1" applyFill="1" applyBorder="1" applyAlignment="1">
      <alignment horizontal="center" vertical="center" wrapText="1"/>
    </xf>
    <xf numFmtId="0" fontId="46" fillId="14" borderId="20" xfId="0" applyFont="1" applyFill="1" applyBorder="1" applyAlignment="1">
      <alignment horizontal="center" vertical="center" wrapText="1"/>
    </xf>
    <xf numFmtId="0" fontId="9" fillId="14" borderId="25" xfId="0" applyFont="1" applyFill="1" applyBorder="1" applyAlignment="1">
      <alignment horizontal="center" vertical="center" wrapText="1"/>
    </xf>
    <xf numFmtId="0" fontId="9" fillId="14" borderId="27" xfId="0" applyFont="1" applyFill="1" applyBorder="1" applyAlignment="1">
      <alignment horizontal="center" vertical="center" wrapText="1"/>
    </xf>
    <xf numFmtId="0" fontId="52" fillId="14" borderId="21" xfId="0" applyFont="1" applyFill="1" applyBorder="1" applyAlignment="1">
      <alignment horizontal="center" vertical="center" wrapText="1"/>
    </xf>
    <xf numFmtId="0" fontId="5" fillId="14" borderId="37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8" fillId="15" borderId="44" xfId="0" applyFont="1" applyFill="1" applyBorder="1" applyAlignment="1">
      <alignment horizontal="center" vertical="center" wrapText="1"/>
    </xf>
    <xf numFmtId="0" fontId="8" fillId="15" borderId="68" xfId="0" applyFont="1" applyFill="1" applyBorder="1" applyAlignment="1">
      <alignment horizontal="center" vertical="center" wrapText="1"/>
    </xf>
    <xf numFmtId="0" fontId="8" fillId="15" borderId="49" xfId="0" applyFont="1" applyFill="1" applyBorder="1" applyAlignment="1">
      <alignment horizontal="center" vertical="center" wrapText="1"/>
    </xf>
    <xf numFmtId="0" fontId="46" fillId="14" borderId="23" xfId="0" applyFont="1" applyFill="1" applyBorder="1" applyAlignment="1">
      <alignment horizontal="center" vertical="center" wrapText="1"/>
    </xf>
    <xf numFmtId="0" fontId="51" fillId="14" borderId="0" xfId="0" applyFont="1" applyFill="1" applyAlignment="1">
      <alignment horizontal="center" vertical="center" wrapText="1"/>
    </xf>
    <xf numFmtId="0" fontId="51" fillId="14" borderId="27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8" borderId="63" xfId="0" applyFont="1" applyFill="1" applyBorder="1" applyAlignment="1">
      <alignment horizontal="center" vertical="center" wrapText="1"/>
    </xf>
    <xf numFmtId="0" fontId="8" fillId="8" borderId="52" xfId="0" applyFont="1" applyFill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 wrapText="1"/>
    </xf>
    <xf numFmtId="0" fontId="8" fillId="14" borderId="16" xfId="0" applyFont="1" applyFill="1" applyBorder="1" applyAlignment="1">
      <alignment horizontal="center" vertical="center" wrapText="1"/>
    </xf>
    <xf numFmtId="0" fontId="50" fillId="8" borderId="10" xfId="0" applyFont="1" applyFill="1" applyBorder="1" applyAlignment="1">
      <alignment horizontal="center" vertical="center" wrapText="1"/>
    </xf>
    <xf numFmtId="0" fontId="50" fillId="8" borderId="11" xfId="0" applyFont="1" applyFill="1" applyBorder="1" applyAlignment="1">
      <alignment horizontal="center" vertical="center" wrapText="1"/>
    </xf>
    <xf numFmtId="0" fontId="50" fillId="8" borderId="39" xfId="0" applyFont="1" applyFill="1" applyBorder="1" applyAlignment="1">
      <alignment horizontal="center" vertical="center" wrapText="1"/>
    </xf>
    <xf numFmtId="0" fontId="8" fillId="14" borderId="64" xfId="0" applyFont="1" applyFill="1" applyBorder="1" applyAlignment="1">
      <alignment horizontal="center" vertical="center" wrapText="1"/>
    </xf>
    <xf numFmtId="0" fontId="46" fillId="14" borderId="24" xfId="0" applyFont="1" applyFill="1" applyBorder="1" applyAlignment="1">
      <alignment horizontal="center" vertical="center" wrapText="1"/>
    </xf>
    <xf numFmtId="0" fontId="46" fillId="14" borderId="37" xfId="0" applyFont="1" applyFill="1" applyBorder="1" applyAlignment="1">
      <alignment horizontal="center" vertical="center" wrapText="1"/>
    </xf>
    <xf numFmtId="0" fontId="8" fillId="15" borderId="31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8" fillId="15" borderId="27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14" borderId="24" xfId="0" applyFont="1" applyFill="1" applyBorder="1" applyAlignment="1">
      <alignment horizontal="center" vertical="center" wrapText="1"/>
    </xf>
    <xf numFmtId="0" fontId="9" fillId="14" borderId="37" xfId="0" applyFont="1" applyFill="1" applyBorder="1" applyAlignment="1">
      <alignment horizontal="center" vertical="center" wrapText="1"/>
    </xf>
    <xf numFmtId="0" fontId="8" fillId="14" borderId="20" xfId="0" applyFont="1" applyFill="1" applyBorder="1" applyAlignment="1">
      <alignment horizontal="center" vertical="center" wrapText="1"/>
    </xf>
    <xf numFmtId="0" fontId="8" fillId="8" borderId="42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6" fillId="8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6" fillId="14" borderId="17" xfId="0" applyFont="1" applyFill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8" fillId="14" borderId="17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9" fillId="14" borderId="1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46" fillId="14" borderId="5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 vertical="center" wrapText="1"/>
    </xf>
    <xf numFmtId="0" fontId="5" fillId="14" borderId="21" xfId="0" applyFont="1" applyFill="1" applyBorder="1" applyAlignment="1">
      <alignment horizontal="center" vertical="center" wrapText="1"/>
    </xf>
    <xf numFmtId="0" fontId="46" fillId="14" borderId="7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37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4" borderId="5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5" fillId="14" borderId="40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49" fillId="14" borderId="10" xfId="0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center" vertical="center" wrapText="1"/>
    </xf>
    <xf numFmtId="0" fontId="49" fillId="14" borderId="24" xfId="0" applyFont="1" applyFill="1" applyBorder="1" applyAlignment="1">
      <alignment horizontal="center" vertical="center" wrapText="1"/>
    </xf>
    <xf numFmtId="0" fontId="9" fillId="14" borderId="31" xfId="0" applyFont="1" applyFill="1" applyBorder="1" applyAlignment="1">
      <alignment horizontal="center" vertical="center" wrapText="1"/>
    </xf>
    <xf numFmtId="0" fontId="9" fillId="14" borderId="57" xfId="0" applyFont="1" applyFill="1" applyBorder="1" applyAlignment="1">
      <alignment horizontal="center" vertical="center" wrapText="1"/>
    </xf>
    <xf numFmtId="0" fontId="9" fillId="14" borderId="26" xfId="0" applyFont="1" applyFill="1" applyBorder="1" applyAlignment="1">
      <alignment horizontal="center" vertical="center" wrapText="1"/>
    </xf>
    <xf numFmtId="0" fontId="49" fillId="14" borderId="7" xfId="0" applyFont="1" applyFill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8" fillId="14" borderId="31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4" borderId="32" xfId="0" applyFont="1" applyFill="1" applyBorder="1" applyAlignment="1">
      <alignment horizontal="center" vertical="center" wrapText="1"/>
    </xf>
    <xf numFmtId="0" fontId="8" fillId="14" borderId="0" xfId="0" applyFont="1" applyFill="1" applyBorder="1" applyAlignment="1">
      <alignment horizontal="center" vertical="center" wrapText="1"/>
    </xf>
    <xf numFmtId="0" fontId="58" fillId="14" borderId="5" xfId="0" applyFont="1" applyFill="1" applyBorder="1" applyAlignment="1">
      <alignment horizontal="center" vertical="center" wrapText="1"/>
    </xf>
    <xf numFmtId="0" fontId="46" fillId="14" borderId="6" xfId="0" applyFont="1" applyFill="1" applyBorder="1" applyAlignment="1">
      <alignment horizontal="center" vertical="center" wrapText="1"/>
    </xf>
    <xf numFmtId="0" fontId="58" fillId="14" borderId="7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 wrapText="1"/>
    </xf>
    <xf numFmtId="0" fontId="8" fillId="14" borderId="34" xfId="0" applyFont="1" applyFill="1" applyBorder="1" applyAlignment="1">
      <alignment horizontal="center" vertical="center" wrapText="1"/>
    </xf>
    <xf numFmtId="0" fontId="8" fillId="14" borderId="35" xfId="0" applyFont="1" applyFill="1" applyBorder="1" applyAlignment="1">
      <alignment horizontal="center" vertical="center" wrapText="1"/>
    </xf>
    <xf numFmtId="0" fontId="27" fillId="8" borderId="6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5" fillId="9" borderId="30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50" fillId="14" borderId="21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 wrapText="1"/>
    </xf>
    <xf numFmtId="0" fontId="49" fillId="14" borderId="25" xfId="0" applyFont="1" applyFill="1" applyBorder="1" applyAlignment="1">
      <alignment horizontal="center" vertical="center" wrapText="1"/>
    </xf>
    <xf numFmtId="0" fontId="46" fillId="14" borderId="22" xfId="0" applyFont="1" applyFill="1" applyBorder="1" applyAlignment="1">
      <alignment horizontal="center" vertical="center" wrapText="1"/>
    </xf>
    <xf numFmtId="0" fontId="46" fillId="14" borderId="26" xfId="0" applyFont="1" applyFill="1" applyBorder="1" applyAlignment="1">
      <alignment horizontal="center" vertical="center" wrapText="1"/>
    </xf>
    <xf numFmtId="0" fontId="46" fillId="14" borderId="15" xfId="0" applyFont="1" applyFill="1" applyBorder="1" applyAlignment="1">
      <alignment horizontal="center" vertical="center" wrapText="1"/>
    </xf>
    <xf numFmtId="0" fontId="5" fillId="14" borderId="0" xfId="0" applyFont="1" applyFill="1" applyBorder="1" applyAlignment="1">
      <alignment horizontal="center" vertical="center" wrapText="1"/>
    </xf>
    <xf numFmtId="0" fontId="8" fillId="14" borderId="21" xfId="0" applyFont="1" applyFill="1" applyBorder="1" applyAlignment="1">
      <alignment horizontal="center" vertical="center" wrapText="1"/>
    </xf>
    <xf numFmtId="0" fontId="8" fillId="14" borderId="37" xfId="0" applyFont="1" applyFill="1" applyBorder="1" applyAlignment="1">
      <alignment horizontal="center" vertical="center" wrapText="1"/>
    </xf>
    <xf numFmtId="0" fontId="8" fillId="14" borderId="23" xfId="0" applyFont="1" applyFill="1" applyBorder="1" applyAlignment="1">
      <alignment horizontal="center" vertical="center" wrapText="1"/>
    </xf>
    <xf numFmtId="0" fontId="8" fillId="14" borderId="40" xfId="0" applyFont="1" applyFill="1" applyBorder="1" applyAlignment="1">
      <alignment horizontal="center" vertical="center" wrapText="1"/>
    </xf>
    <xf numFmtId="0" fontId="8" fillId="14" borderId="29" xfId="0" applyFont="1" applyFill="1" applyBorder="1" applyAlignment="1">
      <alignment horizontal="center" vertical="center" wrapText="1"/>
    </xf>
    <xf numFmtId="0" fontId="8" fillId="14" borderId="30" xfId="0" applyFont="1" applyFill="1" applyBorder="1" applyAlignment="1">
      <alignment horizontal="center" vertical="center" wrapText="1"/>
    </xf>
    <xf numFmtId="0" fontId="8" fillId="14" borderId="62" xfId="0" applyFont="1" applyFill="1" applyBorder="1" applyAlignment="1">
      <alignment horizontal="center" vertical="center" wrapText="1"/>
    </xf>
    <xf numFmtId="0" fontId="5" fillId="14" borderId="57" xfId="0" applyFont="1" applyFill="1" applyBorder="1" applyAlignment="1">
      <alignment horizontal="center" vertical="center" wrapText="1"/>
    </xf>
  </cellXfs>
  <cellStyles count="3">
    <cellStyle name="40% - Accent4" xfId="2" builtinId="4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822303</xdr:colOff>
      <xdr:row>5</xdr:row>
      <xdr:rowOff>1003208</xdr:rowOff>
    </xdr:from>
    <xdr:to>
      <xdr:col>30</xdr:col>
      <xdr:colOff>411150</xdr:colOff>
      <xdr:row>13</xdr:row>
      <xdr:rowOff>345368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9E3315C7-4144-F9DE-DDA8-CA681B9215A8}"/>
            </a:ext>
          </a:extLst>
        </xdr:cNvPr>
        <xdr:cNvCxnSpPr/>
      </xdr:nvCxnSpPr>
      <xdr:spPr>
        <a:xfrm flipV="1">
          <a:off x="36033281" y="5460086"/>
          <a:ext cx="707179" cy="88479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246690</xdr:colOff>
      <xdr:row>2</xdr:row>
      <xdr:rowOff>740072</xdr:rowOff>
    </xdr:from>
    <xdr:to>
      <xdr:col>14</xdr:col>
      <xdr:colOff>263137</xdr:colOff>
      <xdr:row>4</xdr:row>
      <xdr:rowOff>394706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B4659022-6D6E-D9CF-63F7-632FFE07CD4D}"/>
            </a:ext>
          </a:extLst>
        </xdr:cNvPr>
        <xdr:cNvCxnSpPr/>
      </xdr:nvCxnSpPr>
      <xdr:spPr>
        <a:xfrm flipV="1">
          <a:off x="17317683" y="1661050"/>
          <a:ext cx="1134777" cy="18255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707180</xdr:colOff>
      <xdr:row>4</xdr:row>
      <xdr:rowOff>855195</xdr:rowOff>
    </xdr:from>
    <xdr:to>
      <xdr:col>14</xdr:col>
      <xdr:colOff>328920</xdr:colOff>
      <xdr:row>8</xdr:row>
      <xdr:rowOff>723625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E9B6693F-F270-B59C-472D-CC80AEFEE5E2}"/>
            </a:ext>
          </a:extLst>
        </xdr:cNvPr>
        <xdr:cNvCxnSpPr/>
      </xdr:nvCxnSpPr>
      <xdr:spPr>
        <a:xfrm flipV="1">
          <a:off x="15179698" y="3947050"/>
          <a:ext cx="2072200" cy="4769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02E3-CBD6-4CED-99F5-1344DF62CDE3}">
  <dimension ref="A1:AF38"/>
  <sheetViews>
    <sheetView zoomScale="40" zoomScaleNormal="40" workbookViewId="0">
      <pane xSplit="2" ySplit="2" topLeftCell="AE11" activePane="bottomRight" state="frozen"/>
      <selection pane="bottomRight" activeCell="F5" sqref="F5:I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hidden="1" customWidth="1"/>
    <col min="4" max="4" width="15.5703125" style="26" hidden="1" customWidth="1"/>
    <col min="5" max="5" width="16.85546875" style="26" hidden="1" customWidth="1"/>
    <col min="6" max="8" width="20.42578125" style="26" hidden="1" customWidth="1"/>
    <col min="9" max="9" width="23.140625" style="26" hidden="1" customWidth="1"/>
    <col min="10" max="10" width="20.7109375" style="26" hidden="1" customWidth="1"/>
    <col min="11" max="19" width="20.42578125" style="26" hidden="1" customWidth="1"/>
    <col min="20" max="20" width="25.7109375" style="26" hidden="1" customWidth="1"/>
    <col min="21" max="22" width="20.42578125" style="26" hidden="1" customWidth="1"/>
    <col min="23" max="32" width="20.42578125" style="26" customWidth="1"/>
    <col min="33" max="33" width="8.7109375" style="26"/>
    <col min="34" max="34" width="8.7109375" style="26" customWidth="1"/>
    <col min="35" max="16384" width="8.7109375" style="26"/>
  </cols>
  <sheetData>
    <row r="1" spans="1:32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48">
        <v>7</v>
      </c>
      <c r="J1" s="48">
        <v>8</v>
      </c>
      <c r="K1" s="48">
        <v>9</v>
      </c>
      <c r="L1" s="49">
        <v>10</v>
      </c>
      <c r="M1" s="49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</row>
    <row r="2" spans="1:32" ht="27.75" customHeight="1">
      <c r="A2" s="27"/>
      <c r="B2" s="27"/>
      <c r="C2" s="30" t="s">
        <v>2</v>
      </c>
      <c r="D2" s="31" t="s">
        <v>3</v>
      </c>
      <c r="E2" s="28" t="s">
        <v>4</v>
      </c>
      <c r="F2" s="28" t="s">
        <v>5</v>
      </c>
      <c r="G2" s="29" t="s">
        <v>6</v>
      </c>
      <c r="H2" s="28" t="s">
        <v>7</v>
      </c>
      <c r="I2" s="28" t="s">
        <v>8</v>
      </c>
      <c r="J2" s="30" t="s">
        <v>2</v>
      </c>
      <c r="K2" s="31" t="s">
        <v>3</v>
      </c>
      <c r="L2" s="28" t="s">
        <v>4</v>
      </c>
      <c r="M2" s="28" t="s">
        <v>5</v>
      </c>
      <c r="N2" s="29" t="s">
        <v>6</v>
      </c>
      <c r="O2" s="28" t="s">
        <v>7</v>
      </c>
      <c r="P2" s="28" t="s">
        <v>8</v>
      </c>
      <c r="Q2" s="30" t="s">
        <v>2</v>
      </c>
      <c r="R2" s="31" t="s">
        <v>3</v>
      </c>
      <c r="S2" s="28" t="s">
        <v>4</v>
      </c>
      <c r="T2" s="28" t="s">
        <v>5</v>
      </c>
      <c r="U2" s="29" t="s">
        <v>6</v>
      </c>
      <c r="V2" s="52" t="s">
        <v>7</v>
      </c>
      <c r="W2" s="52" t="s">
        <v>8</v>
      </c>
      <c r="X2" s="50" t="s">
        <v>2</v>
      </c>
      <c r="Y2" s="51" t="s">
        <v>3</v>
      </c>
      <c r="Z2" s="52" t="s">
        <v>4</v>
      </c>
      <c r="AA2" s="52" t="s">
        <v>5</v>
      </c>
      <c r="AB2" s="29" t="s">
        <v>6</v>
      </c>
      <c r="AC2" s="28" t="s">
        <v>7</v>
      </c>
      <c r="AD2" s="28" t="s">
        <v>8</v>
      </c>
      <c r="AE2" s="30" t="s">
        <v>2</v>
      </c>
      <c r="AF2" s="31" t="s">
        <v>3</v>
      </c>
    </row>
    <row r="3" spans="1:32" ht="85.5" customHeight="1">
      <c r="A3" s="32">
        <v>1</v>
      </c>
      <c r="B3" s="33" t="s">
        <v>9</v>
      </c>
      <c r="C3" s="305" t="s">
        <v>10</v>
      </c>
      <c r="D3" s="23">
        <v>1</v>
      </c>
      <c r="E3" s="320" t="s">
        <v>11</v>
      </c>
      <c r="F3" s="321"/>
      <c r="G3" s="321"/>
      <c r="H3" s="322"/>
      <c r="I3" s="326" t="s">
        <v>12</v>
      </c>
      <c r="J3" s="327"/>
      <c r="K3" s="327"/>
      <c r="L3" s="328"/>
      <c r="M3" s="71"/>
      <c r="N3" s="310" t="s">
        <v>13</v>
      </c>
      <c r="O3" s="311"/>
      <c r="P3" s="312"/>
      <c r="Q3" s="313"/>
      <c r="R3" s="331" t="s">
        <v>14</v>
      </c>
      <c r="S3" s="332"/>
      <c r="T3" s="332"/>
      <c r="U3" s="333"/>
      <c r="V3" s="215" t="s">
        <v>15</v>
      </c>
      <c r="W3" s="279"/>
      <c r="X3" s="279"/>
      <c r="Y3" s="225"/>
      <c r="Z3" s="281" t="s">
        <v>16</v>
      </c>
      <c r="AA3" s="282"/>
      <c r="AB3" s="297"/>
      <c r="AC3" s="359" t="s">
        <v>17</v>
      </c>
      <c r="AD3" s="360"/>
      <c r="AE3" s="361"/>
      <c r="AF3" s="192" t="s">
        <v>18</v>
      </c>
    </row>
    <row r="4" spans="1:32" ht="85.5" customHeight="1">
      <c r="A4" s="34">
        <v>2</v>
      </c>
      <c r="B4" s="33" t="s">
        <v>9</v>
      </c>
      <c r="C4" s="306"/>
      <c r="D4" s="215" t="s">
        <v>19</v>
      </c>
      <c r="E4" s="225"/>
      <c r="F4" s="317" t="s">
        <v>20</v>
      </c>
      <c r="G4" s="318"/>
      <c r="H4" s="318"/>
      <c r="I4" s="319"/>
      <c r="J4" s="329" t="s">
        <v>21</v>
      </c>
      <c r="K4" s="330"/>
      <c r="L4" s="330"/>
      <c r="M4" s="335" t="s">
        <v>22</v>
      </c>
      <c r="N4" s="315"/>
      <c r="O4" s="316"/>
      <c r="P4" s="369" t="s">
        <v>23</v>
      </c>
      <c r="Q4" s="369"/>
      <c r="R4" s="369"/>
      <c r="S4" s="215" t="s">
        <v>24</v>
      </c>
      <c r="T4" s="225"/>
      <c r="U4" s="252" t="s">
        <v>25</v>
      </c>
      <c r="V4" s="252"/>
      <c r="W4" s="253"/>
      <c r="X4" s="47">
        <v>1</v>
      </c>
      <c r="Y4" s="254" t="s">
        <v>26</v>
      </c>
      <c r="Z4" s="255"/>
      <c r="AA4" s="298"/>
      <c r="AB4" s="349" t="s">
        <v>27</v>
      </c>
      <c r="AC4" s="349"/>
      <c r="AD4" s="349"/>
      <c r="AE4" s="349"/>
      <c r="AF4" s="192" t="s">
        <v>28</v>
      </c>
    </row>
    <row r="5" spans="1:32" ht="108" customHeight="1">
      <c r="A5" s="34">
        <v>3</v>
      </c>
      <c r="B5" s="33" t="s">
        <v>29</v>
      </c>
      <c r="C5" s="323" t="s">
        <v>30</v>
      </c>
      <c r="D5" s="324"/>
      <c r="E5" s="325"/>
      <c r="F5" s="317" t="s">
        <v>31</v>
      </c>
      <c r="G5" s="318"/>
      <c r="H5" s="318"/>
      <c r="I5" s="319"/>
      <c r="J5" s="23">
        <v>1</v>
      </c>
      <c r="K5" s="335" t="s">
        <v>32</v>
      </c>
      <c r="L5" s="342"/>
      <c r="M5" s="316"/>
      <c r="N5" s="314" t="s">
        <v>13</v>
      </c>
      <c r="O5" s="315"/>
      <c r="P5" s="315"/>
      <c r="Q5" s="316"/>
      <c r="R5" s="215" t="s">
        <v>33</v>
      </c>
      <c r="S5" s="255"/>
      <c r="T5" s="255"/>
      <c r="U5" s="255"/>
      <c r="V5" s="298"/>
      <c r="W5" s="254" t="s">
        <v>34</v>
      </c>
      <c r="X5" s="279"/>
      <c r="Y5" s="225"/>
      <c r="Z5" s="46">
        <v>1</v>
      </c>
      <c r="AA5" s="218" t="s">
        <v>35</v>
      </c>
      <c r="AB5" s="216"/>
      <c r="AC5" s="225"/>
      <c r="AD5" s="215" t="s">
        <v>36</v>
      </c>
      <c r="AE5" s="279"/>
      <c r="AF5" s="225"/>
    </row>
    <row r="6" spans="1:32" ht="108" customHeight="1">
      <c r="A6" s="34">
        <v>4</v>
      </c>
      <c r="B6" s="33" t="s">
        <v>37</v>
      </c>
      <c r="C6" s="215" t="s">
        <v>38</v>
      </c>
      <c r="D6" s="225"/>
      <c r="E6" s="23">
        <v>1</v>
      </c>
      <c r="F6" s="336" t="s">
        <v>39</v>
      </c>
      <c r="G6" s="337"/>
      <c r="H6" s="338"/>
      <c r="I6" s="317" t="s">
        <v>40</v>
      </c>
      <c r="J6" s="318"/>
      <c r="K6" s="319"/>
      <c r="L6" s="307" t="s">
        <v>41</v>
      </c>
      <c r="M6" s="308"/>
      <c r="N6" s="308"/>
      <c r="O6" s="308"/>
      <c r="P6" s="309"/>
      <c r="Q6" s="218" t="s">
        <v>42</v>
      </c>
      <c r="R6" s="217"/>
      <c r="S6" s="334" t="s">
        <v>43</v>
      </c>
      <c r="T6" s="334"/>
      <c r="U6" s="334"/>
      <c r="V6" s="334"/>
      <c r="W6" s="334"/>
      <c r="X6" s="334"/>
      <c r="Y6" s="334"/>
      <c r="Z6" s="23">
        <v>1</v>
      </c>
      <c r="AA6" s="215" t="s">
        <v>44</v>
      </c>
      <c r="AB6" s="279"/>
      <c r="AC6" s="279"/>
      <c r="AD6" s="279"/>
      <c r="AE6" s="225"/>
      <c r="AF6" s="156" t="s">
        <v>45</v>
      </c>
    </row>
    <row r="7" spans="1:32" ht="98.45" customHeight="1">
      <c r="A7" s="34">
        <v>5</v>
      </c>
      <c r="B7" s="33" t="s">
        <v>37</v>
      </c>
      <c r="C7" s="73" t="s">
        <v>46</v>
      </c>
      <c r="D7" s="62">
        <v>1</v>
      </c>
      <c r="E7" s="62">
        <v>1</v>
      </c>
      <c r="F7" s="317" t="s">
        <v>47</v>
      </c>
      <c r="G7" s="319"/>
      <c r="H7" s="317" t="s">
        <v>48</v>
      </c>
      <c r="I7" s="318"/>
      <c r="J7" s="319"/>
      <c r="K7" s="95" t="s">
        <v>49</v>
      </c>
      <c r="L7" s="281" t="s">
        <v>50</v>
      </c>
      <c r="M7" s="282"/>
      <c r="N7" s="282"/>
      <c r="O7" s="282"/>
      <c r="P7" s="379"/>
      <c r="Q7" s="376" t="s">
        <v>51</v>
      </c>
      <c r="R7" s="251"/>
      <c r="S7" s="377"/>
      <c r="T7" s="81" t="s">
        <v>52</v>
      </c>
      <c r="U7" s="343" t="s">
        <v>25</v>
      </c>
      <c r="V7" s="255"/>
      <c r="W7" s="298"/>
      <c r="X7" s="47">
        <v>1</v>
      </c>
      <c r="Y7" s="254" t="s">
        <v>53</v>
      </c>
      <c r="Z7" s="255"/>
      <c r="AA7" s="255"/>
      <c r="AB7" s="298"/>
      <c r="AC7" s="215" t="s">
        <v>54</v>
      </c>
      <c r="AD7" s="279"/>
      <c r="AE7" s="255"/>
      <c r="AF7" s="298"/>
    </row>
    <row r="8" spans="1:32" ht="103.35" customHeight="1">
      <c r="A8" s="34">
        <v>6</v>
      </c>
      <c r="B8" s="33" t="s">
        <v>9</v>
      </c>
      <c r="C8" s="317" t="s">
        <v>55</v>
      </c>
      <c r="D8" s="318"/>
      <c r="E8" s="319"/>
      <c r="F8" s="317" t="s">
        <v>56</v>
      </c>
      <c r="G8" s="318"/>
      <c r="H8" s="318"/>
      <c r="I8" s="319"/>
      <c r="J8" s="336" t="s">
        <v>57</v>
      </c>
      <c r="K8" s="337"/>
      <c r="L8" s="338"/>
      <c r="M8" s="336" t="s">
        <v>58</v>
      </c>
      <c r="N8" s="337"/>
      <c r="O8" s="338"/>
      <c r="P8" s="344" t="s">
        <v>59</v>
      </c>
      <c r="Q8" s="347"/>
      <c r="R8" s="347"/>
      <c r="S8" s="348"/>
      <c r="T8" s="372" t="s">
        <v>60</v>
      </c>
      <c r="U8" s="373"/>
      <c r="V8" s="373"/>
      <c r="W8" s="374"/>
      <c r="X8" s="374"/>
      <c r="Y8" s="375"/>
      <c r="Z8" s="64"/>
      <c r="AA8" s="344" t="s">
        <v>61</v>
      </c>
      <c r="AB8" s="345"/>
      <c r="AC8" s="345"/>
      <c r="AD8" s="345"/>
      <c r="AE8" s="346"/>
      <c r="AF8" s="184" t="s">
        <v>62</v>
      </c>
    </row>
    <row r="9" spans="1:32" ht="112.5" customHeight="1">
      <c r="A9" s="34">
        <v>7</v>
      </c>
      <c r="B9" s="33" t="s">
        <v>9</v>
      </c>
      <c r="C9" s="317" t="s">
        <v>63</v>
      </c>
      <c r="D9" s="318"/>
      <c r="E9" s="318"/>
      <c r="F9" s="318"/>
      <c r="G9" s="318"/>
      <c r="H9" s="319"/>
      <c r="I9" s="74" t="s">
        <v>64</v>
      </c>
      <c r="J9" s="380" t="s">
        <v>65</v>
      </c>
      <c r="K9" s="380"/>
      <c r="L9" s="380"/>
      <c r="M9" s="380"/>
      <c r="N9" s="317" t="s">
        <v>66</v>
      </c>
      <c r="O9" s="318"/>
      <c r="P9" s="318"/>
      <c r="Q9" s="319"/>
      <c r="R9" s="70">
        <v>1</v>
      </c>
      <c r="S9" s="339" t="s">
        <v>67</v>
      </c>
      <c r="T9" s="340"/>
      <c r="U9" s="341"/>
      <c r="V9" s="76"/>
      <c r="W9" s="376" t="s">
        <v>68</v>
      </c>
      <c r="X9" s="251"/>
      <c r="Y9" s="251"/>
      <c r="Z9" s="280"/>
      <c r="AA9" s="378" t="s">
        <v>69</v>
      </c>
      <c r="AB9" s="347"/>
      <c r="AC9" s="347"/>
      <c r="AD9" s="347"/>
      <c r="AE9" s="362" t="s">
        <v>70</v>
      </c>
      <c r="AF9" s="362"/>
    </row>
    <row r="10" spans="1:32" ht="85.5" customHeight="1">
      <c r="A10" s="34">
        <v>8</v>
      </c>
      <c r="B10" s="33" t="s">
        <v>9</v>
      </c>
      <c r="C10" s="317" t="s">
        <v>71</v>
      </c>
      <c r="D10" s="318"/>
      <c r="E10" s="318"/>
      <c r="F10" s="318"/>
      <c r="G10" s="318"/>
      <c r="H10" s="318"/>
      <c r="I10" s="319"/>
      <c r="J10" s="23">
        <v>1</v>
      </c>
      <c r="K10" s="317" t="s">
        <v>72</v>
      </c>
      <c r="L10" s="318"/>
      <c r="M10" s="318"/>
      <c r="N10" s="319"/>
      <c r="O10" s="23">
        <v>1</v>
      </c>
      <c r="P10" s="345" t="s">
        <v>73</v>
      </c>
      <c r="Q10" s="345"/>
      <c r="R10" s="345"/>
      <c r="S10" s="345"/>
      <c r="T10" s="359" t="s">
        <v>74</v>
      </c>
      <c r="U10" s="360"/>
      <c r="V10" s="360"/>
      <c r="W10" s="361"/>
      <c r="X10" s="366" t="s">
        <v>75</v>
      </c>
      <c r="Y10" s="367"/>
      <c r="Z10" s="367"/>
      <c r="AA10" s="368"/>
      <c r="AB10" s="215" t="s">
        <v>76</v>
      </c>
      <c r="AC10" s="279"/>
      <c r="AD10" s="225"/>
      <c r="AE10" s="370" t="s">
        <v>77</v>
      </c>
      <c r="AF10" s="371"/>
    </row>
    <row r="11" spans="1:32" ht="85.5" customHeight="1">
      <c r="A11" s="34">
        <v>9</v>
      </c>
      <c r="B11" s="35" t="s">
        <v>29</v>
      </c>
      <c r="C11" s="281" t="s">
        <v>78</v>
      </c>
      <c r="D11" s="297"/>
      <c r="E11" s="56" t="s">
        <v>79</v>
      </c>
      <c r="F11" s="215" t="s">
        <v>80</v>
      </c>
      <c r="G11" s="225"/>
      <c r="H11" s="317" t="s">
        <v>81</v>
      </c>
      <c r="I11" s="318"/>
      <c r="J11" s="318"/>
      <c r="K11" s="318"/>
      <c r="L11" s="319"/>
      <c r="M11" s="23">
        <v>1</v>
      </c>
      <c r="N11" s="317" t="s">
        <v>82</v>
      </c>
      <c r="O11" s="318"/>
      <c r="P11" s="319"/>
      <c r="Q11" s="215" t="s">
        <v>83</v>
      </c>
      <c r="R11" s="279"/>
      <c r="S11" s="279"/>
      <c r="T11" s="225"/>
      <c r="U11" s="215" t="s">
        <v>84</v>
      </c>
      <c r="V11" s="279"/>
      <c r="W11" s="225"/>
      <c r="X11" s="215" t="s">
        <v>85</v>
      </c>
      <c r="Y11" s="279"/>
      <c r="Z11" s="279"/>
      <c r="AA11" s="225"/>
      <c r="AB11" s="215" t="s">
        <v>86</v>
      </c>
      <c r="AC11" s="279"/>
      <c r="AD11" s="279"/>
      <c r="AE11" s="281" t="s">
        <v>87</v>
      </c>
      <c r="AF11" s="297"/>
    </row>
    <row r="12" spans="1:32" ht="85.5" customHeight="1">
      <c r="A12" s="34">
        <v>10</v>
      </c>
      <c r="B12" s="33" t="s">
        <v>37</v>
      </c>
      <c r="C12" s="192" t="s">
        <v>88</v>
      </c>
      <c r="D12" s="215" t="s">
        <v>89</v>
      </c>
      <c r="E12" s="225"/>
      <c r="F12" s="215" t="s">
        <v>90</v>
      </c>
      <c r="G12" s="279"/>
      <c r="H12" s="279"/>
      <c r="I12" s="225"/>
      <c r="J12" s="23">
        <v>1</v>
      </c>
      <c r="K12" s="359" t="s">
        <v>91</v>
      </c>
      <c r="L12" s="360"/>
      <c r="M12" s="361"/>
      <c r="N12" s="215" t="s">
        <v>92</v>
      </c>
      <c r="O12" s="279"/>
      <c r="P12" s="279"/>
      <c r="Q12" s="279"/>
      <c r="R12" s="279"/>
      <c r="S12" s="225"/>
      <c r="T12" s="23">
        <v>1</v>
      </c>
      <c r="U12" s="215" t="s">
        <v>25</v>
      </c>
      <c r="V12" s="279"/>
      <c r="W12" s="225"/>
      <c r="X12" s="215" t="s">
        <v>93</v>
      </c>
      <c r="Y12" s="225"/>
      <c r="Z12" s="215" t="s">
        <v>94</v>
      </c>
      <c r="AA12" s="279"/>
      <c r="AB12" s="225"/>
      <c r="AC12" s="70">
        <v>1</v>
      </c>
      <c r="AD12" s="70">
        <v>1</v>
      </c>
      <c r="AE12" s="254" t="s">
        <v>95</v>
      </c>
      <c r="AF12" s="298"/>
    </row>
    <row r="13" spans="1:32" ht="85.5" customHeight="1">
      <c r="A13" s="34">
        <v>11</v>
      </c>
      <c r="B13" s="33" t="s">
        <v>37</v>
      </c>
      <c r="C13" s="215" t="s">
        <v>96</v>
      </c>
      <c r="D13" s="225"/>
      <c r="E13" s="350" t="s">
        <v>97</v>
      </c>
      <c r="F13" s="351"/>
      <c r="G13" s="351"/>
      <c r="H13" s="351"/>
      <c r="I13" s="352"/>
      <c r="J13" s="317" t="s">
        <v>98</v>
      </c>
      <c r="K13" s="319"/>
      <c r="L13" s="215" t="s">
        <v>99</v>
      </c>
      <c r="M13" s="279"/>
      <c r="N13" s="279"/>
      <c r="O13" s="279"/>
      <c r="P13" s="225"/>
      <c r="Q13" s="215" t="s">
        <v>100</v>
      </c>
      <c r="R13" s="279"/>
      <c r="S13" s="279"/>
      <c r="T13" s="225"/>
      <c r="U13" s="215" t="s">
        <v>101</v>
      </c>
      <c r="V13" s="225"/>
      <c r="W13" s="215" t="s">
        <v>102</v>
      </c>
      <c r="X13" s="216"/>
      <c r="Y13" s="217"/>
      <c r="Z13" s="381" t="s">
        <v>103</v>
      </c>
      <c r="AA13" s="282"/>
      <c r="AB13" s="297"/>
      <c r="AC13" s="215" t="s">
        <v>104</v>
      </c>
      <c r="AD13" s="225"/>
      <c r="AE13" s="281" t="s">
        <v>105</v>
      </c>
      <c r="AF13" s="297"/>
    </row>
    <row r="14" spans="1:32" ht="85.5" customHeight="1">
      <c r="A14" s="34">
        <v>12</v>
      </c>
      <c r="B14" s="33" t="s">
        <v>9</v>
      </c>
      <c r="C14" s="215" t="s">
        <v>106</v>
      </c>
      <c r="D14" s="225"/>
      <c r="E14" s="353"/>
      <c r="F14" s="354"/>
      <c r="G14" s="354"/>
      <c r="H14" s="354"/>
      <c r="I14" s="355"/>
      <c r="J14" s="23">
        <v>1</v>
      </c>
      <c r="K14" s="344" t="s">
        <v>107</v>
      </c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62" t="s">
        <v>108</v>
      </c>
      <c r="Y14" s="362"/>
      <c r="Z14" s="362"/>
      <c r="AA14" s="362"/>
      <c r="AB14" s="363" t="s">
        <v>109</v>
      </c>
      <c r="AC14" s="364"/>
      <c r="AD14" s="365"/>
      <c r="AE14" s="23">
        <v>1</v>
      </c>
      <c r="AF14" s="192" t="s">
        <v>110</v>
      </c>
    </row>
    <row r="15" spans="1:32" ht="85.5" customHeight="1">
      <c r="A15" s="34" t="s">
        <v>111</v>
      </c>
      <c r="B15" s="33" t="s">
        <v>112</v>
      </c>
      <c r="C15" s="192" t="s">
        <v>113</v>
      </c>
      <c r="D15" s="57">
        <v>1</v>
      </c>
      <c r="E15" s="356"/>
      <c r="F15" s="357"/>
      <c r="G15" s="357"/>
      <c r="H15" s="357"/>
      <c r="I15" s="358"/>
      <c r="J15" s="215" t="s">
        <v>114</v>
      </c>
      <c r="K15" s="279"/>
      <c r="L15" s="279"/>
      <c r="M15" s="279"/>
      <c r="N15" s="225"/>
      <c r="O15" s="215" t="s">
        <v>115</v>
      </c>
      <c r="P15" s="279"/>
      <c r="Q15" s="225"/>
      <c r="R15" s="215" t="s">
        <v>116</v>
      </c>
      <c r="S15" s="225"/>
      <c r="T15" s="215" t="s">
        <v>117</v>
      </c>
      <c r="U15" s="279"/>
      <c r="V15" s="225"/>
      <c r="W15" s="317" t="s">
        <v>118</v>
      </c>
      <c r="X15" s="318"/>
      <c r="Y15" s="319"/>
      <c r="Z15" s="254" t="s">
        <v>119</v>
      </c>
      <c r="AA15" s="279"/>
      <c r="AB15" s="279"/>
      <c r="AC15" s="279"/>
      <c r="AD15" s="225"/>
      <c r="AE15" s="254" t="s">
        <v>120</v>
      </c>
      <c r="AF15" s="298"/>
    </row>
    <row r="16" spans="1:32" ht="84.95" customHeight="1">
      <c r="A16" s="36"/>
      <c r="B16" s="37"/>
      <c r="C16" s="38" t="e">
        <f>(30*13-SUM(C17:AF20))/(30*13)</f>
        <v>#REF!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85.5" customHeight="1">
      <c r="A17" s="2"/>
      <c r="B17" s="3" t="s">
        <v>121</v>
      </c>
      <c r="C17" s="2">
        <f t="shared" ref="C17:AF17" si="0">C28+C34</f>
        <v>0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1</v>
      </c>
      <c r="K17" s="4">
        <f t="shared" si="0"/>
        <v>0</v>
      </c>
      <c r="L17" s="4">
        <f t="shared" si="0"/>
        <v>0</v>
      </c>
      <c r="M17" s="4">
        <f t="shared" si="0"/>
        <v>1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1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</row>
    <row r="18" spans="1:32" ht="85.5" customHeight="1">
      <c r="A18" s="2"/>
      <c r="B18" s="3" t="s">
        <v>122</v>
      </c>
      <c r="C18" s="2">
        <f t="shared" ref="C18:AF18" si="1">C26+C27+C31+C32+C33+C37</f>
        <v>0</v>
      </c>
      <c r="D18" s="2">
        <f t="shared" si="1"/>
        <v>1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4">
        <f t="shared" si="1"/>
        <v>0</v>
      </c>
      <c r="J18" s="4">
        <f t="shared" si="1"/>
        <v>2</v>
      </c>
      <c r="K18" s="4">
        <f t="shared" si="1"/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1</v>
      </c>
      <c r="P18" s="4">
        <f t="shared" si="1"/>
        <v>0</v>
      </c>
      <c r="Q18" s="4">
        <f t="shared" si="1"/>
        <v>0</v>
      </c>
      <c r="R18" s="4">
        <f t="shared" si="1"/>
        <v>1</v>
      </c>
      <c r="S18" s="4">
        <f t="shared" si="1"/>
        <v>0</v>
      </c>
      <c r="T18" s="4">
        <f t="shared" si="1"/>
        <v>0</v>
      </c>
      <c r="U18" s="4">
        <f t="shared" si="1"/>
        <v>0</v>
      </c>
      <c r="V18" s="4">
        <f t="shared" si="1"/>
        <v>0</v>
      </c>
      <c r="W18" s="4">
        <f t="shared" si="1"/>
        <v>0</v>
      </c>
      <c r="X18" s="4">
        <f t="shared" si="1"/>
        <v>1</v>
      </c>
      <c r="Y18" s="4">
        <f t="shared" si="1"/>
        <v>0</v>
      </c>
      <c r="Z18" s="4">
        <f t="shared" si="1"/>
        <v>0</v>
      </c>
      <c r="AA18" s="4">
        <f t="shared" si="1"/>
        <v>0</v>
      </c>
      <c r="AB18" s="4">
        <f t="shared" si="1"/>
        <v>0</v>
      </c>
      <c r="AC18" s="4">
        <f t="shared" si="1"/>
        <v>0</v>
      </c>
      <c r="AD18" s="4">
        <f t="shared" si="1"/>
        <v>0</v>
      </c>
      <c r="AE18" s="4">
        <f t="shared" si="1"/>
        <v>1</v>
      </c>
      <c r="AF18" s="4">
        <f t="shared" si="1"/>
        <v>0</v>
      </c>
    </row>
    <row r="19" spans="1:32" ht="85.5" customHeight="1">
      <c r="A19" s="2"/>
      <c r="B19" s="3" t="s">
        <v>123</v>
      </c>
      <c r="C19" s="2">
        <f t="shared" ref="C19:AF19" si="2">C29+C30+C35+C36</f>
        <v>0</v>
      </c>
      <c r="D19" s="2">
        <f t="shared" si="2"/>
        <v>1</v>
      </c>
      <c r="E19" s="4">
        <f t="shared" si="2"/>
        <v>2</v>
      </c>
      <c r="F19" s="4">
        <f t="shared" si="2"/>
        <v>0</v>
      </c>
      <c r="G19" s="4">
        <f t="shared" si="2"/>
        <v>0</v>
      </c>
      <c r="H19" s="4">
        <f t="shared" si="2"/>
        <v>0</v>
      </c>
      <c r="I19" s="4">
        <f t="shared" si="2"/>
        <v>0</v>
      </c>
      <c r="J19" s="4">
        <f t="shared" si="2"/>
        <v>1</v>
      </c>
      <c r="K19" s="4">
        <f t="shared" si="2"/>
        <v>0</v>
      </c>
      <c r="L19" s="4" t="e">
        <f t="shared" si="2"/>
        <v>#REF!</v>
      </c>
      <c r="M19" s="4">
        <f t="shared" si="2"/>
        <v>0</v>
      </c>
      <c r="N19" s="4">
        <f t="shared" si="2"/>
        <v>0</v>
      </c>
      <c r="O19" s="4">
        <f t="shared" si="2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2"/>
        <v>0</v>
      </c>
      <c r="T19" s="4">
        <f t="shared" si="2"/>
        <v>1</v>
      </c>
      <c r="U19" s="4">
        <f t="shared" si="2"/>
        <v>0</v>
      </c>
      <c r="V19" s="4">
        <f t="shared" si="2"/>
        <v>0</v>
      </c>
      <c r="W19" s="4">
        <f t="shared" si="2"/>
        <v>0</v>
      </c>
      <c r="X19" s="4">
        <f t="shared" si="2"/>
        <v>1</v>
      </c>
      <c r="Y19" s="4">
        <f t="shared" si="2"/>
        <v>0</v>
      </c>
      <c r="Z19" s="4">
        <f t="shared" si="2"/>
        <v>1</v>
      </c>
      <c r="AA19" s="4">
        <f t="shared" si="2"/>
        <v>0</v>
      </c>
      <c r="AB19" s="4">
        <f t="shared" si="2"/>
        <v>0</v>
      </c>
      <c r="AC19" s="4">
        <f t="shared" si="2"/>
        <v>1</v>
      </c>
      <c r="AD19" s="4">
        <f t="shared" si="2"/>
        <v>1</v>
      </c>
      <c r="AE19" s="4">
        <f t="shared" si="2"/>
        <v>0</v>
      </c>
      <c r="AF19" s="4">
        <f t="shared" si="2"/>
        <v>0</v>
      </c>
    </row>
    <row r="20" spans="1:32" ht="85.5" customHeight="1">
      <c r="A20" s="2"/>
      <c r="B20" s="3" t="s">
        <v>124</v>
      </c>
      <c r="C20" s="2">
        <f t="shared" ref="C20:AF20" si="3">C38</f>
        <v>0</v>
      </c>
      <c r="D20" s="2">
        <f t="shared" si="3"/>
        <v>1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  <c r="AE20" s="4">
        <f t="shared" si="3"/>
        <v>0</v>
      </c>
      <c r="AF20" s="4">
        <f t="shared" si="3"/>
        <v>0</v>
      </c>
    </row>
    <row r="21" spans="1:32" ht="85.5" customHeight="1">
      <c r="C21" s="41">
        <f t="shared" ref="C21:AF21" si="4">SUM(C17:C20)</f>
        <v>0</v>
      </c>
      <c r="D21" s="41">
        <f t="shared" si="4"/>
        <v>3</v>
      </c>
      <c r="E21" s="41">
        <f t="shared" si="4"/>
        <v>2</v>
      </c>
      <c r="F21" s="41">
        <f t="shared" si="4"/>
        <v>0</v>
      </c>
      <c r="G21" s="41">
        <f t="shared" si="4"/>
        <v>0</v>
      </c>
      <c r="H21" s="41">
        <f t="shared" si="4"/>
        <v>0</v>
      </c>
      <c r="I21" s="41">
        <f t="shared" si="4"/>
        <v>0</v>
      </c>
      <c r="J21" s="41">
        <f t="shared" si="4"/>
        <v>4</v>
      </c>
      <c r="K21" s="41">
        <f t="shared" si="4"/>
        <v>0</v>
      </c>
      <c r="L21" s="41" t="e">
        <f t="shared" si="4"/>
        <v>#REF!</v>
      </c>
      <c r="M21" s="41">
        <f t="shared" si="4"/>
        <v>1</v>
      </c>
      <c r="N21" s="41">
        <f t="shared" si="4"/>
        <v>0</v>
      </c>
      <c r="O21" s="41">
        <f t="shared" si="4"/>
        <v>1</v>
      </c>
      <c r="P21" s="41">
        <f t="shared" si="4"/>
        <v>0</v>
      </c>
      <c r="Q21" s="41">
        <f t="shared" si="4"/>
        <v>0</v>
      </c>
      <c r="R21" s="41">
        <f t="shared" si="4"/>
        <v>1</v>
      </c>
      <c r="S21" s="41">
        <f t="shared" si="4"/>
        <v>0</v>
      </c>
      <c r="T21" s="41">
        <f t="shared" si="4"/>
        <v>1</v>
      </c>
      <c r="U21" s="41">
        <f t="shared" si="4"/>
        <v>0</v>
      </c>
      <c r="V21" s="41">
        <f t="shared" si="4"/>
        <v>0</v>
      </c>
      <c r="W21" s="41">
        <f t="shared" si="4"/>
        <v>0</v>
      </c>
      <c r="X21" s="41">
        <f t="shared" si="4"/>
        <v>2</v>
      </c>
      <c r="Y21" s="41">
        <f t="shared" si="4"/>
        <v>0</v>
      </c>
      <c r="Z21" s="41">
        <f t="shared" si="4"/>
        <v>2</v>
      </c>
      <c r="AA21" s="41">
        <f t="shared" si="4"/>
        <v>0</v>
      </c>
      <c r="AB21" s="41">
        <f t="shared" si="4"/>
        <v>0</v>
      </c>
      <c r="AC21" s="41">
        <f t="shared" si="4"/>
        <v>1</v>
      </c>
      <c r="AD21" s="41">
        <f t="shared" si="4"/>
        <v>1</v>
      </c>
      <c r="AE21" s="41">
        <f t="shared" si="4"/>
        <v>1</v>
      </c>
      <c r="AF21" s="41">
        <f t="shared" si="4"/>
        <v>0</v>
      </c>
    </row>
    <row r="22" spans="1:32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71.099999999999994" customHeight="1"/>
    <row r="24" spans="1:32" ht="61.35" customHeight="1"/>
    <row r="26" spans="1:32" ht="42" customHeight="1">
      <c r="B26" s="42">
        <v>1</v>
      </c>
      <c r="C26" s="40">
        <f t="shared" ref="C26:AF34" si="5">IF(C3=1,1,0)</f>
        <v>0</v>
      </c>
      <c r="D26" s="40">
        <f t="shared" si="5"/>
        <v>1</v>
      </c>
      <c r="E26" s="40">
        <f t="shared" si="5"/>
        <v>0</v>
      </c>
      <c r="F26" s="40">
        <f t="shared" si="5"/>
        <v>0</v>
      </c>
      <c r="G26" s="40">
        <f t="shared" si="5"/>
        <v>0</v>
      </c>
      <c r="H26" s="40">
        <f t="shared" si="5"/>
        <v>0</v>
      </c>
      <c r="I26" s="40">
        <f t="shared" si="5"/>
        <v>0</v>
      </c>
      <c r="J26" s="40">
        <f t="shared" si="5"/>
        <v>0</v>
      </c>
      <c r="K26" s="40">
        <f t="shared" si="5"/>
        <v>0</v>
      </c>
      <c r="L26" s="40">
        <f t="shared" si="5"/>
        <v>0</v>
      </c>
      <c r="M26" s="40">
        <f t="shared" si="5"/>
        <v>0</v>
      </c>
      <c r="N26" s="40">
        <f t="shared" si="5"/>
        <v>0</v>
      </c>
      <c r="O26" s="40">
        <f t="shared" si="5"/>
        <v>0</v>
      </c>
      <c r="P26" s="40">
        <f t="shared" si="5"/>
        <v>0</v>
      </c>
      <c r="Q26" s="40">
        <f t="shared" si="5"/>
        <v>0</v>
      </c>
      <c r="R26" s="40">
        <f t="shared" si="5"/>
        <v>0</v>
      </c>
      <c r="S26" s="40">
        <f t="shared" si="5"/>
        <v>0</v>
      </c>
      <c r="T26" s="40">
        <f t="shared" si="5"/>
        <v>0</v>
      </c>
      <c r="U26" s="40">
        <f t="shared" si="5"/>
        <v>0</v>
      </c>
      <c r="V26" s="40">
        <f t="shared" ref="V26:W26" si="6">IF(V3=1,1,0)</f>
        <v>0</v>
      </c>
      <c r="W26" s="40">
        <f t="shared" si="6"/>
        <v>0</v>
      </c>
      <c r="X26" s="40">
        <f t="shared" si="5"/>
        <v>0</v>
      </c>
      <c r="Y26" s="40">
        <f t="shared" si="5"/>
        <v>0</v>
      </c>
      <c r="Z26" s="40">
        <f>IF(V3=1,1,0)</f>
        <v>0</v>
      </c>
      <c r="AA26" s="40">
        <f t="shared" si="5"/>
        <v>0</v>
      </c>
      <c r="AB26" s="40">
        <f t="shared" si="5"/>
        <v>0</v>
      </c>
      <c r="AC26" s="40">
        <f t="shared" si="5"/>
        <v>0</v>
      </c>
      <c r="AD26" s="40">
        <f t="shared" si="5"/>
        <v>0</v>
      </c>
      <c r="AE26" s="40">
        <f t="shared" si="5"/>
        <v>0</v>
      </c>
      <c r="AF26" s="40">
        <f t="shared" si="5"/>
        <v>0</v>
      </c>
    </row>
    <row r="27" spans="1:32" ht="42" customHeight="1">
      <c r="B27" s="42">
        <v>2</v>
      </c>
      <c r="C27" s="40">
        <f t="shared" si="5"/>
        <v>0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si="5"/>
        <v>0</v>
      </c>
      <c r="I27" s="40">
        <f t="shared" si="5"/>
        <v>0</v>
      </c>
      <c r="J27" s="40">
        <f t="shared" si="5"/>
        <v>0</v>
      </c>
      <c r="K27" s="40">
        <f t="shared" si="5"/>
        <v>0</v>
      </c>
      <c r="L27" s="40">
        <f t="shared" si="5"/>
        <v>0</v>
      </c>
      <c r="M27" s="40">
        <f t="shared" si="5"/>
        <v>0</v>
      </c>
      <c r="N27" s="40">
        <f t="shared" si="5"/>
        <v>0</v>
      </c>
      <c r="O27" s="40">
        <f t="shared" si="5"/>
        <v>0</v>
      </c>
      <c r="P27" s="40">
        <f t="shared" si="5"/>
        <v>0</v>
      </c>
      <c r="Q27" s="40">
        <f t="shared" si="5"/>
        <v>0</v>
      </c>
      <c r="R27" s="40">
        <f t="shared" si="5"/>
        <v>0</v>
      </c>
      <c r="S27" s="40">
        <f t="shared" si="5"/>
        <v>0</v>
      </c>
      <c r="T27" s="40">
        <f t="shared" si="5"/>
        <v>0</v>
      </c>
      <c r="U27" s="40">
        <f t="shared" si="5"/>
        <v>0</v>
      </c>
      <c r="V27" s="40">
        <f t="shared" ref="V27:W27" si="7">IF(V4=1,1,0)</f>
        <v>0</v>
      </c>
      <c r="W27" s="40">
        <f t="shared" si="7"/>
        <v>0</v>
      </c>
      <c r="X27" s="40">
        <f t="shared" si="5"/>
        <v>1</v>
      </c>
      <c r="Y27" s="40">
        <f t="shared" si="5"/>
        <v>0</v>
      </c>
      <c r="Z27" s="40">
        <f t="shared" si="5"/>
        <v>0</v>
      </c>
      <c r="AA27" s="40">
        <f t="shared" si="5"/>
        <v>0</v>
      </c>
      <c r="AB27" s="40">
        <f t="shared" si="5"/>
        <v>0</v>
      </c>
      <c r="AC27" s="40">
        <f t="shared" si="5"/>
        <v>0</v>
      </c>
      <c r="AD27" s="40">
        <f t="shared" si="5"/>
        <v>0</v>
      </c>
      <c r="AE27" s="40">
        <f t="shared" si="5"/>
        <v>0</v>
      </c>
      <c r="AF27" s="40">
        <f t="shared" si="5"/>
        <v>0</v>
      </c>
    </row>
    <row r="28" spans="1:32" ht="42" customHeight="1">
      <c r="B28" s="43">
        <v>3</v>
      </c>
      <c r="C28" s="40">
        <f t="shared" si="5"/>
        <v>0</v>
      </c>
      <c r="D28" s="40">
        <f t="shared" si="5"/>
        <v>0</v>
      </c>
      <c r="E28" s="40">
        <f t="shared" si="5"/>
        <v>0</v>
      </c>
      <c r="F28" s="40">
        <f t="shared" si="5"/>
        <v>0</v>
      </c>
      <c r="G28" s="40">
        <f t="shared" si="5"/>
        <v>0</v>
      </c>
      <c r="H28" s="40">
        <f t="shared" si="5"/>
        <v>0</v>
      </c>
      <c r="I28" s="40">
        <f t="shared" si="5"/>
        <v>0</v>
      </c>
      <c r="J28" s="40">
        <f t="shared" si="5"/>
        <v>1</v>
      </c>
      <c r="K28" s="40">
        <f t="shared" si="5"/>
        <v>0</v>
      </c>
      <c r="L28" s="40">
        <f t="shared" si="5"/>
        <v>0</v>
      </c>
      <c r="M28" s="40">
        <f t="shared" si="5"/>
        <v>0</v>
      </c>
      <c r="N28" s="40">
        <f t="shared" si="5"/>
        <v>0</v>
      </c>
      <c r="O28" s="40">
        <f t="shared" si="5"/>
        <v>0</v>
      </c>
      <c r="P28" s="40">
        <f t="shared" si="5"/>
        <v>0</v>
      </c>
      <c r="Q28" s="40">
        <f t="shared" si="5"/>
        <v>0</v>
      </c>
      <c r="R28" s="40">
        <f t="shared" si="5"/>
        <v>0</v>
      </c>
      <c r="S28" s="40">
        <f t="shared" si="5"/>
        <v>0</v>
      </c>
      <c r="T28" s="40">
        <f t="shared" si="5"/>
        <v>0</v>
      </c>
      <c r="U28" s="40">
        <f t="shared" si="5"/>
        <v>0</v>
      </c>
      <c r="V28" s="40">
        <f t="shared" ref="V28:W28" si="8">IF(V5=1,1,0)</f>
        <v>0</v>
      </c>
      <c r="W28" s="40">
        <f t="shared" si="8"/>
        <v>0</v>
      </c>
      <c r="X28" s="40">
        <f t="shared" si="5"/>
        <v>0</v>
      </c>
      <c r="Y28" s="40">
        <f t="shared" si="5"/>
        <v>0</v>
      </c>
      <c r="Z28" s="40">
        <f t="shared" si="5"/>
        <v>1</v>
      </c>
      <c r="AA28" s="40">
        <f t="shared" si="5"/>
        <v>0</v>
      </c>
      <c r="AB28" s="40">
        <f t="shared" si="5"/>
        <v>0</v>
      </c>
      <c r="AC28" s="40">
        <f t="shared" si="5"/>
        <v>0</v>
      </c>
      <c r="AD28" s="40">
        <f t="shared" si="5"/>
        <v>0</v>
      </c>
      <c r="AE28" s="40">
        <f t="shared" si="5"/>
        <v>0</v>
      </c>
      <c r="AF28" s="40">
        <f t="shared" si="5"/>
        <v>0</v>
      </c>
    </row>
    <row r="29" spans="1:32" ht="42" customHeight="1">
      <c r="B29" s="44">
        <v>4</v>
      </c>
      <c r="C29" s="40">
        <f t="shared" si="5"/>
        <v>0</v>
      </c>
      <c r="D29" s="40">
        <f t="shared" si="5"/>
        <v>0</v>
      </c>
      <c r="E29" s="40">
        <f t="shared" si="5"/>
        <v>1</v>
      </c>
      <c r="F29" s="40">
        <f t="shared" si="5"/>
        <v>0</v>
      </c>
      <c r="G29" s="40">
        <f t="shared" si="5"/>
        <v>0</v>
      </c>
      <c r="H29" s="40">
        <f t="shared" si="5"/>
        <v>0</v>
      </c>
      <c r="I29" s="40">
        <f t="shared" si="5"/>
        <v>0</v>
      </c>
      <c r="J29" s="40">
        <f t="shared" si="5"/>
        <v>0</v>
      </c>
      <c r="K29" s="40">
        <f t="shared" si="5"/>
        <v>0</v>
      </c>
      <c r="L29" s="40">
        <f t="shared" si="5"/>
        <v>0</v>
      </c>
      <c r="M29" s="40">
        <f t="shared" si="5"/>
        <v>0</v>
      </c>
      <c r="N29" s="40">
        <f t="shared" si="5"/>
        <v>0</v>
      </c>
      <c r="O29" s="40">
        <f t="shared" si="5"/>
        <v>0</v>
      </c>
      <c r="P29" s="40">
        <f t="shared" si="5"/>
        <v>0</v>
      </c>
      <c r="Q29" s="40">
        <f t="shared" si="5"/>
        <v>0</v>
      </c>
      <c r="R29" s="40">
        <f t="shared" si="5"/>
        <v>0</v>
      </c>
      <c r="S29" s="40">
        <f t="shared" si="5"/>
        <v>0</v>
      </c>
      <c r="T29" s="40">
        <f t="shared" si="5"/>
        <v>0</v>
      </c>
      <c r="U29" s="40">
        <f t="shared" si="5"/>
        <v>0</v>
      </c>
      <c r="V29" s="40">
        <f t="shared" ref="V29:W29" si="9">IF(V6=1,1,0)</f>
        <v>0</v>
      </c>
      <c r="W29" s="40">
        <f t="shared" si="9"/>
        <v>0</v>
      </c>
      <c r="X29" s="40">
        <f t="shared" si="5"/>
        <v>0</v>
      </c>
      <c r="Y29" s="40">
        <f t="shared" si="5"/>
        <v>0</v>
      </c>
      <c r="Z29" s="40">
        <f t="shared" si="5"/>
        <v>1</v>
      </c>
      <c r="AA29" s="40">
        <f t="shared" si="5"/>
        <v>0</v>
      </c>
      <c r="AB29" s="40">
        <f t="shared" si="5"/>
        <v>0</v>
      </c>
      <c r="AC29" s="40">
        <f t="shared" si="5"/>
        <v>0</v>
      </c>
      <c r="AD29" s="40">
        <f t="shared" si="5"/>
        <v>0</v>
      </c>
      <c r="AE29" s="40">
        <f t="shared" si="5"/>
        <v>0</v>
      </c>
      <c r="AF29" s="40">
        <f t="shared" si="5"/>
        <v>0</v>
      </c>
    </row>
    <row r="30" spans="1:32" ht="42" customHeight="1">
      <c r="B30" s="44">
        <v>5</v>
      </c>
      <c r="C30" s="40">
        <f t="shared" si="5"/>
        <v>0</v>
      </c>
      <c r="D30" s="40">
        <f t="shared" si="5"/>
        <v>1</v>
      </c>
      <c r="E30" s="40">
        <f t="shared" si="5"/>
        <v>1</v>
      </c>
      <c r="F30" s="40">
        <f t="shared" si="5"/>
        <v>0</v>
      </c>
      <c r="G30" s="40">
        <f t="shared" si="5"/>
        <v>0</v>
      </c>
      <c r="H30" s="40">
        <f t="shared" si="5"/>
        <v>0</v>
      </c>
      <c r="I30" s="40">
        <f t="shared" si="5"/>
        <v>0</v>
      </c>
      <c r="J30" s="40">
        <f t="shared" si="5"/>
        <v>0</v>
      </c>
      <c r="K30" s="40">
        <f t="shared" si="5"/>
        <v>0</v>
      </c>
      <c r="L30" s="40" t="e">
        <f>IF(#REF!=1,1,0)</f>
        <v>#REF!</v>
      </c>
      <c r="M30" s="40">
        <f t="shared" si="5"/>
        <v>0</v>
      </c>
      <c r="N30" s="40">
        <f t="shared" si="5"/>
        <v>0</v>
      </c>
      <c r="O30" s="40">
        <f>IF(L7=1,1,0)</f>
        <v>0</v>
      </c>
      <c r="P30" s="40">
        <f t="shared" si="5"/>
        <v>0</v>
      </c>
      <c r="Q30" s="40">
        <f t="shared" si="5"/>
        <v>0</v>
      </c>
      <c r="R30" s="40">
        <f t="shared" si="5"/>
        <v>0</v>
      </c>
      <c r="S30" s="40">
        <f t="shared" si="5"/>
        <v>0</v>
      </c>
      <c r="T30" s="40">
        <f t="shared" si="5"/>
        <v>0</v>
      </c>
      <c r="U30" s="40">
        <f t="shared" si="5"/>
        <v>0</v>
      </c>
      <c r="V30" s="40">
        <f t="shared" ref="V30:W30" si="10">IF(V7=1,1,0)</f>
        <v>0</v>
      </c>
      <c r="W30" s="40">
        <f t="shared" si="10"/>
        <v>0</v>
      </c>
      <c r="X30" s="40">
        <f t="shared" si="5"/>
        <v>1</v>
      </c>
      <c r="Y30" s="40">
        <f t="shared" si="5"/>
        <v>0</v>
      </c>
      <c r="Z30" s="40">
        <f t="shared" si="5"/>
        <v>0</v>
      </c>
      <c r="AA30" s="40">
        <f t="shared" si="5"/>
        <v>0</v>
      </c>
      <c r="AB30" s="40">
        <f t="shared" si="5"/>
        <v>0</v>
      </c>
      <c r="AC30" s="40">
        <f t="shared" si="5"/>
        <v>0</v>
      </c>
      <c r="AD30" s="40">
        <f t="shared" si="5"/>
        <v>0</v>
      </c>
      <c r="AE30" s="40">
        <f t="shared" si="5"/>
        <v>0</v>
      </c>
      <c r="AF30" s="40">
        <f t="shared" si="5"/>
        <v>0</v>
      </c>
    </row>
    <row r="31" spans="1:32" ht="42" customHeight="1">
      <c r="B31" s="42">
        <v>6</v>
      </c>
      <c r="C31" s="40">
        <f t="shared" si="5"/>
        <v>0</v>
      </c>
      <c r="D31" s="40">
        <f t="shared" si="5"/>
        <v>0</v>
      </c>
      <c r="E31" s="40">
        <f t="shared" si="5"/>
        <v>0</v>
      </c>
      <c r="F31" s="40">
        <f t="shared" si="5"/>
        <v>0</v>
      </c>
      <c r="G31" s="40">
        <f t="shared" si="5"/>
        <v>0</v>
      </c>
      <c r="H31" s="40">
        <f t="shared" si="5"/>
        <v>0</v>
      </c>
      <c r="I31" s="40">
        <f t="shared" si="5"/>
        <v>0</v>
      </c>
      <c r="J31" s="40">
        <f t="shared" si="5"/>
        <v>0</v>
      </c>
      <c r="K31" s="40">
        <f t="shared" si="5"/>
        <v>0</v>
      </c>
      <c r="L31" s="40">
        <f t="shared" si="5"/>
        <v>0</v>
      </c>
      <c r="M31" s="40">
        <f t="shared" si="5"/>
        <v>0</v>
      </c>
      <c r="N31" s="40">
        <f t="shared" si="5"/>
        <v>0</v>
      </c>
      <c r="O31" s="40">
        <f t="shared" si="5"/>
        <v>0</v>
      </c>
      <c r="P31" s="40">
        <f t="shared" si="5"/>
        <v>0</v>
      </c>
      <c r="Q31" s="40">
        <f t="shared" si="5"/>
        <v>0</v>
      </c>
      <c r="R31" s="40">
        <f t="shared" si="5"/>
        <v>0</v>
      </c>
      <c r="S31" s="40">
        <f t="shared" si="5"/>
        <v>0</v>
      </c>
      <c r="T31" s="40">
        <f t="shared" si="5"/>
        <v>0</v>
      </c>
      <c r="U31" s="40">
        <f t="shared" si="5"/>
        <v>0</v>
      </c>
      <c r="V31" s="40">
        <f t="shared" si="5"/>
        <v>0</v>
      </c>
      <c r="W31" s="40">
        <f t="shared" si="5"/>
        <v>0</v>
      </c>
      <c r="X31" s="40">
        <f t="shared" si="5"/>
        <v>0</v>
      </c>
      <c r="Y31" s="40">
        <f t="shared" si="5"/>
        <v>0</v>
      </c>
      <c r="Z31" s="40">
        <f t="shared" si="5"/>
        <v>0</v>
      </c>
      <c r="AA31" s="40">
        <f t="shared" si="5"/>
        <v>0</v>
      </c>
      <c r="AB31" s="40">
        <f t="shared" si="5"/>
        <v>0</v>
      </c>
      <c r="AC31" s="40">
        <f t="shared" si="5"/>
        <v>0</v>
      </c>
      <c r="AD31" s="40">
        <f t="shared" si="5"/>
        <v>0</v>
      </c>
      <c r="AE31" s="40">
        <f t="shared" si="5"/>
        <v>0</v>
      </c>
      <c r="AF31" s="40">
        <f t="shared" si="5"/>
        <v>0</v>
      </c>
    </row>
    <row r="32" spans="1:32" ht="42" customHeight="1">
      <c r="B32" s="42">
        <v>7</v>
      </c>
      <c r="C32" s="40">
        <f t="shared" si="5"/>
        <v>0</v>
      </c>
      <c r="D32" s="40">
        <f t="shared" si="5"/>
        <v>0</v>
      </c>
      <c r="E32" s="40">
        <f t="shared" si="5"/>
        <v>0</v>
      </c>
      <c r="F32" s="40">
        <f t="shared" si="5"/>
        <v>0</v>
      </c>
      <c r="G32" s="40">
        <f t="shared" si="5"/>
        <v>0</v>
      </c>
      <c r="H32" s="40">
        <f t="shared" si="5"/>
        <v>0</v>
      </c>
      <c r="I32" s="40">
        <f t="shared" si="5"/>
        <v>0</v>
      </c>
      <c r="J32" s="40">
        <f t="shared" si="5"/>
        <v>0</v>
      </c>
      <c r="K32" s="40">
        <f t="shared" si="5"/>
        <v>0</v>
      </c>
      <c r="L32" s="40">
        <f t="shared" si="5"/>
        <v>0</v>
      </c>
      <c r="M32" s="40">
        <f t="shared" si="5"/>
        <v>0</v>
      </c>
      <c r="N32" s="40">
        <f t="shared" si="5"/>
        <v>0</v>
      </c>
      <c r="O32" s="40">
        <f t="shared" si="5"/>
        <v>0</v>
      </c>
      <c r="P32" s="40">
        <f t="shared" si="5"/>
        <v>0</v>
      </c>
      <c r="Q32" s="40">
        <f t="shared" si="5"/>
        <v>0</v>
      </c>
      <c r="R32" s="40">
        <f t="shared" si="5"/>
        <v>1</v>
      </c>
      <c r="S32" s="40">
        <f t="shared" si="5"/>
        <v>0</v>
      </c>
      <c r="T32" s="40">
        <f t="shared" si="5"/>
        <v>0</v>
      </c>
      <c r="U32" s="40">
        <f t="shared" si="5"/>
        <v>0</v>
      </c>
      <c r="V32" s="40">
        <f t="shared" si="5"/>
        <v>0</v>
      </c>
      <c r="W32" s="40">
        <f t="shared" si="5"/>
        <v>0</v>
      </c>
      <c r="X32" s="40">
        <f t="shared" si="5"/>
        <v>0</v>
      </c>
      <c r="Y32" s="40">
        <f t="shared" si="5"/>
        <v>0</v>
      </c>
      <c r="Z32" s="40">
        <f t="shared" si="5"/>
        <v>0</v>
      </c>
      <c r="AA32" s="40">
        <f t="shared" si="5"/>
        <v>0</v>
      </c>
      <c r="AB32" s="40">
        <f t="shared" si="5"/>
        <v>0</v>
      </c>
      <c r="AC32" s="40">
        <f t="shared" si="5"/>
        <v>0</v>
      </c>
      <c r="AD32" s="40">
        <f t="shared" si="5"/>
        <v>0</v>
      </c>
      <c r="AE32" s="40">
        <f t="shared" si="5"/>
        <v>0</v>
      </c>
      <c r="AF32" s="40">
        <f t="shared" si="5"/>
        <v>0</v>
      </c>
    </row>
    <row r="33" spans="2:32" ht="42" customHeight="1">
      <c r="B33" s="42">
        <v>8</v>
      </c>
      <c r="C33" s="40">
        <f t="shared" si="5"/>
        <v>0</v>
      </c>
      <c r="D33" s="40">
        <f t="shared" si="5"/>
        <v>0</v>
      </c>
      <c r="E33" s="40">
        <f t="shared" si="5"/>
        <v>0</v>
      </c>
      <c r="F33" s="40">
        <f t="shared" si="5"/>
        <v>0</v>
      </c>
      <c r="G33" s="40">
        <f t="shared" si="5"/>
        <v>0</v>
      </c>
      <c r="H33" s="40">
        <f t="shared" si="5"/>
        <v>0</v>
      </c>
      <c r="I33" s="40">
        <f t="shared" si="5"/>
        <v>0</v>
      </c>
      <c r="J33" s="40">
        <f t="shared" si="5"/>
        <v>1</v>
      </c>
      <c r="K33" s="40">
        <f t="shared" si="5"/>
        <v>0</v>
      </c>
      <c r="L33" s="40">
        <f t="shared" si="5"/>
        <v>0</v>
      </c>
      <c r="M33" s="40">
        <f t="shared" si="5"/>
        <v>0</v>
      </c>
      <c r="N33" s="40">
        <f t="shared" si="5"/>
        <v>0</v>
      </c>
      <c r="O33" s="40">
        <f t="shared" si="5"/>
        <v>1</v>
      </c>
      <c r="P33" s="40">
        <f t="shared" si="5"/>
        <v>0</v>
      </c>
      <c r="Q33" s="40">
        <f t="shared" si="5"/>
        <v>0</v>
      </c>
      <c r="R33" s="40">
        <f t="shared" si="5"/>
        <v>0</v>
      </c>
      <c r="S33" s="40">
        <f t="shared" si="5"/>
        <v>0</v>
      </c>
      <c r="T33" s="40">
        <f t="shared" si="5"/>
        <v>0</v>
      </c>
      <c r="U33" s="40">
        <f t="shared" si="5"/>
        <v>0</v>
      </c>
      <c r="V33" s="40">
        <f t="shared" si="5"/>
        <v>0</v>
      </c>
      <c r="W33" s="40">
        <f t="shared" si="5"/>
        <v>0</v>
      </c>
      <c r="X33" s="40">
        <f t="shared" si="5"/>
        <v>0</v>
      </c>
      <c r="Y33" s="40">
        <f t="shared" si="5"/>
        <v>0</v>
      </c>
      <c r="Z33" s="40">
        <f t="shared" si="5"/>
        <v>0</v>
      </c>
      <c r="AA33" s="40">
        <f t="shared" si="5"/>
        <v>0</v>
      </c>
      <c r="AB33" s="40">
        <f t="shared" si="5"/>
        <v>0</v>
      </c>
      <c r="AC33" s="40">
        <f t="shared" si="5"/>
        <v>0</v>
      </c>
      <c r="AD33" s="40">
        <f t="shared" si="5"/>
        <v>0</v>
      </c>
      <c r="AE33" s="40">
        <f t="shared" si="5"/>
        <v>0</v>
      </c>
      <c r="AF33" s="40">
        <f t="shared" si="5"/>
        <v>0</v>
      </c>
    </row>
    <row r="34" spans="2:32" ht="42" customHeight="1">
      <c r="B34" s="43">
        <v>9</v>
      </c>
      <c r="C34" s="40">
        <f t="shared" si="5"/>
        <v>0</v>
      </c>
      <c r="D34" s="40">
        <f t="shared" si="5"/>
        <v>0</v>
      </c>
      <c r="E34" s="40">
        <f t="shared" si="5"/>
        <v>0</v>
      </c>
      <c r="F34" s="40">
        <f t="shared" si="5"/>
        <v>0</v>
      </c>
      <c r="G34" s="40">
        <f t="shared" si="5"/>
        <v>0</v>
      </c>
      <c r="H34" s="40">
        <f t="shared" si="5"/>
        <v>0</v>
      </c>
      <c r="I34" s="40">
        <f t="shared" si="5"/>
        <v>0</v>
      </c>
      <c r="J34" s="40">
        <f t="shared" ref="J34:AF34" si="11">IF(J11=1,1,0)</f>
        <v>0</v>
      </c>
      <c r="K34" s="40">
        <f t="shared" si="11"/>
        <v>0</v>
      </c>
      <c r="L34" s="40">
        <f t="shared" si="11"/>
        <v>0</v>
      </c>
      <c r="M34" s="40">
        <f t="shared" si="11"/>
        <v>1</v>
      </c>
      <c r="N34" s="40">
        <f t="shared" si="11"/>
        <v>0</v>
      </c>
      <c r="O34" s="40">
        <f t="shared" si="11"/>
        <v>0</v>
      </c>
      <c r="P34" s="40">
        <f t="shared" si="11"/>
        <v>0</v>
      </c>
      <c r="Q34" s="40">
        <f t="shared" si="11"/>
        <v>0</v>
      </c>
      <c r="R34" s="40">
        <f t="shared" si="11"/>
        <v>0</v>
      </c>
      <c r="S34" s="40">
        <f t="shared" si="11"/>
        <v>0</v>
      </c>
      <c r="T34" s="40">
        <f t="shared" si="11"/>
        <v>0</v>
      </c>
      <c r="U34" s="40">
        <f t="shared" si="11"/>
        <v>0</v>
      </c>
      <c r="V34" s="40">
        <f t="shared" si="11"/>
        <v>0</v>
      </c>
      <c r="W34" s="40">
        <f t="shared" si="11"/>
        <v>0</v>
      </c>
      <c r="X34" s="40">
        <f t="shared" si="11"/>
        <v>0</v>
      </c>
      <c r="Y34" s="40">
        <f t="shared" si="11"/>
        <v>0</v>
      </c>
      <c r="Z34" s="40">
        <f t="shared" si="11"/>
        <v>0</v>
      </c>
      <c r="AA34" s="40">
        <f t="shared" si="11"/>
        <v>0</v>
      </c>
      <c r="AB34" s="40">
        <f t="shared" si="11"/>
        <v>0</v>
      </c>
      <c r="AC34" s="40">
        <f t="shared" si="11"/>
        <v>0</v>
      </c>
      <c r="AD34" s="40">
        <f t="shared" si="11"/>
        <v>0</v>
      </c>
      <c r="AE34" s="40">
        <f t="shared" si="11"/>
        <v>0</v>
      </c>
      <c r="AF34" s="40">
        <f t="shared" si="11"/>
        <v>0</v>
      </c>
    </row>
    <row r="35" spans="2:32" ht="42" customHeight="1">
      <c r="B35" s="44">
        <v>10</v>
      </c>
      <c r="C35" s="40">
        <f t="shared" ref="C35:AF38" si="12">IF(C12=1,1,0)</f>
        <v>0</v>
      </c>
      <c r="D35" s="40">
        <f t="shared" si="12"/>
        <v>0</v>
      </c>
      <c r="E35" s="40">
        <f t="shared" si="12"/>
        <v>0</v>
      </c>
      <c r="F35" s="40">
        <f t="shared" si="12"/>
        <v>0</v>
      </c>
      <c r="G35" s="40">
        <f t="shared" si="12"/>
        <v>0</v>
      </c>
      <c r="H35" s="40">
        <f t="shared" si="12"/>
        <v>0</v>
      </c>
      <c r="I35" s="40">
        <f t="shared" si="12"/>
        <v>0</v>
      </c>
      <c r="J35" s="40">
        <f t="shared" si="12"/>
        <v>1</v>
      </c>
      <c r="K35" s="40">
        <f t="shared" si="12"/>
        <v>0</v>
      </c>
      <c r="L35" s="40">
        <f t="shared" si="12"/>
        <v>0</v>
      </c>
      <c r="M35" s="40">
        <f t="shared" si="12"/>
        <v>0</v>
      </c>
      <c r="N35" s="40">
        <f t="shared" si="12"/>
        <v>0</v>
      </c>
      <c r="O35" s="40">
        <f t="shared" si="12"/>
        <v>0</v>
      </c>
      <c r="P35" s="40">
        <f t="shared" si="12"/>
        <v>0</v>
      </c>
      <c r="Q35" s="40">
        <f t="shared" si="12"/>
        <v>0</v>
      </c>
      <c r="R35" s="40">
        <f t="shared" si="12"/>
        <v>0</v>
      </c>
      <c r="S35" s="40">
        <f t="shared" si="12"/>
        <v>0</v>
      </c>
      <c r="T35" s="40">
        <f t="shared" si="12"/>
        <v>1</v>
      </c>
      <c r="U35" s="40">
        <f t="shared" si="12"/>
        <v>0</v>
      </c>
      <c r="V35" s="40">
        <f t="shared" si="12"/>
        <v>0</v>
      </c>
      <c r="W35" s="40">
        <f t="shared" si="12"/>
        <v>0</v>
      </c>
      <c r="X35" s="40">
        <f t="shared" si="12"/>
        <v>0</v>
      </c>
      <c r="Y35" s="40">
        <f t="shared" si="12"/>
        <v>0</v>
      </c>
      <c r="Z35" s="40">
        <f t="shared" si="12"/>
        <v>0</v>
      </c>
      <c r="AA35" s="40">
        <f t="shared" si="12"/>
        <v>0</v>
      </c>
      <c r="AB35" s="40">
        <f t="shared" si="12"/>
        <v>0</v>
      </c>
      <c r="AC35" s="40">
        <f t="shared" si="12"/>
        <v>1</v>
      </c>
      <c r="AD35" s="40">
        <f t="shared" si="12"/>
        <v>1</v>
      </c>
      <c r="AE35" s="40">
        <f t="shared" si="12"/>
        <v>0</v>
      </c>
      <c r="AF35" s="40">
        <f t="shared" si="12"/>
        <v>0</v>
      </c>
    </row>
    <row r="36" spans="2:32" ht="42" customHeight="1">
      <c r="B36" s="44">
        <v>11</v>
      </c>
      <c r="C36" s="40">
        <f t="shared" si="12"/>
        <v>0</v>
      </c>
      <c r="D36" s="40">
        <f t="shared" si="12"/>
        <v>0</v>
      </c>
      <c r="E36" s="40">
        <f t="shared" si="12"/>
        <v>0</v>
      </c>
      <c r="F36" s="40">
        <f t="shared" si="12"/>
        <v>0</v>
      </c>
      <c r="G36" s="40">
        <f t="shared" si="12"/>
        <v>0</v>
      </c>
      <c r="H36" s="40">
        <f t="shared" si="12"/>
        <v>0</v>
      </c>
      <c r="I36" s="40">
        <f t="shared" si="12"/>
        <v>0</v>
      </c>
      <c r="J36" s="40">
        <f t="shared" si="12"/>
        <v>0</v>
      </c>
      <c r="K36" s="40">
        <f t="shared" si="12"/>
        <v>0</v>
      </c>
      <c r="L36" s="40">
        <f t="shared" si="12"/>
        <v>0</v>
      </c>
      <c r="M36" s="40">
        <f t="shared" si="12"/>
        <v>0</v>
      </c>
      <c r="N36" s="40">
        <f t="shared" si="12"/>
        <v>0</v>
      </c>
      <c r="O36" s="40">
        <f t="shared" si="12"/>
        <v>0</v>
      </c>
      <c r="P36" s="40">
        <f t="shared" si="12"/>
        <v>0</v>
      </c>
      <c r="Q36" s="40">
        <f t="shared" si="12"/>
        <v>0</v>
      </c>
      <c r="R36" s="40">
        <f t="shared" si="12"/>
        <v>0</v>
      </c>
      <c r="S36" s="40">
        <f t="shared" si="12"/>
        <v>0</v>
      </c>
      <c r="T36" s="40">
        <f t="shared" si="12"/>
        <v>0</v>
      </c>
      <c r="U36" s="40">
        <f t="shared" si="12"/>
        <v>0</v>
      </c>
      <c r="V36" s="40">
        <f t="shared" si="12"/>
        <v>0</v>
      </c>
      <c r="W36" s="40">
        <f t="shared" si="12"/>
        <v>0</v>
      </c>
      <c r="X36" s="40">
        <f t="shared" si="12"/>
        <v>0</v>
      </c>
      <c r="Y36" s="40">
        <f t="shared" si="12"/>
        <v>0</v>
      </c>
      <c r="Z36" s="40">
        <f t="shared" si="12"/>
        <v>0</v>
      </c>
      <c r="AA36" s="40">
        <f t="shared" si="12"/>
        <v>0</v>
      </c>
      <c r="AB36" s="40">
        <f t="shared" si="12"/>
        <v>0</v>
      </c>
      <c r="AC36" s="40">
        <f t="shared" si="12"/>
        <v>0</v>
      </c>
      <c r="AD36" s="40">
        <f t="shared" si="12"/>
        <v>0</v>
      </c>
      <c r="AE36" s="40">
        <f t="shared" si="12"/>
        <v>0</v>
      </c>
      <c r="AF36" s="40">
        <f t="shared" si="12"/>
        <v>0</v>
      </c>
    </row>
    <row r="37" spans="2:32" ht="42" customHeight="1">
      <c r="B37" s="42">
        <v>12</v>
      </c>
      <c r="C37" s="40">
        <f t="shared" si="12"/>
        <v>0</v>
      </c>
      <c r="D37" s="40">
        <f t="shared" si="12"/>
        <v>0</v>
      </c>
      <c r="E37" s="40">
        <f t="shared" si="12"/>
        <v>0</v>
      </c>
      <c r="F37" s="40">
        <f t="shared" si="12"/>
        <v>0</v>
      </c>
      <c r="G37" s="40">
        <f t="shared" si="12"/>
        <v>0</v>
      </c>
      <c r="H37" s="40">
        <f t="shared" si="12"/>
        <v>0</v>
      </c>
      <c r="I37" s="40">
        <f t="shared" si="12"/>
        <v>0</v>
      </c>
      <c r="J37" s="40">
        <f t="shared" si="12"/>
        <v>1</v>
      </c>
      <c r="K37" s="40">
        <f t="shared" si="12"/>
        <v>0</v>
      </c>
      <c r="L37" s="40">
        <f t="shared" si="12"/>
        <v>0</v>
      </c>
      <c r="M37" s="40">
        <f t="shared" si="12"/>
        <v>0</v>
      </c>
      <c r="N37" s="40">
        <f t="shared" si="12"/>
        <v>0</v>
      </c>
      <c r="O37" s="40">
        <f t="shared" si="12"/>
        <v>0</v>
      </c>
      <c r="P37" s="40">
        <f t="shared" si="12"/>
        <v>0</v>
      </c>
      <c r="Q37" s="40">
        <f t="shared" si="12"/>
        <v>0</v>
      </c>
      <c r="R37" s="40">
        <f t="shared" si="12"/>
        <v>0</v>
      </c>
      <c r="S37" s="40">
        <f t="shared" si="12"/>
        <v>0</v>
      </c>
      <c r="T37" s="40">
        <f t="shared" si="12"/>
        <v>0</v>
      </c>
      <c r="U37" s="40">
        <f t="shared" si="12"/>
        <v>0</v>
      </c>
      <c r="V37" s="40">
        <f t="shared" si="12"/>
        <v>0</v>
      </c>
      <c r="W37" s="40">
        <f t="shared" si="12"/>
        <v>0</v>
      </c>
      <c r="X37" s="40">
        <f t="shared" si="12"/>
        <v>0</v>
      </c>
      <c r="Y37" s="40">
        <f t="shared" si="12"/>
        <v>0</v>
      </c>
      <c r="Z37" s="40">
        <f t="shared" si="12"/>
        <v>0</v>
      </c>
      <c r="AA37" s="40">
        <f t="shared" si="12"/>
        <v>0</v>
      </c>
      <c r="AB37" s="40">
        <f t="shared" si="12"/>
        <v>0</v>
      </c>
      <c r="AC37" s="40">
        <f t="shared" si="12"/>
        <v>0</v>
      </c>
      <c r="AD37" s="40">
        <f t="shared" si="12"/>
        <v>0</v>
      </c>
      <c r="AE37" s="40">
        <f t="shared" si="12"/>
        <v>1</v>
      </c>
      <c r="AF37" s="40">
        <f t="shared" si="12"/>
        <v>0</v>
      </c>
    </row>
    <row r="38" spans="2:32" ht="42" customHeight="1">
      <c r="B38" s="45" t="s">
        <v>111</v>
      </c>
      <c r="C38" s="40">
        <f t="shared" si="12"/>
        <v>0</v>
      </c>
      <c r="D38" s="40">
        <f t="shared" si="12"/>
        <v>1</v>
      </c>
      <c r="E38" s="40">
        <f t="shared" si="12"/>
        <v>0</v>
      </c>
      <c r="F38" s="40">
        <f t="shared" si="12"/>
        <v>0</v>
      </c>
      <c r="G38" s="40">
        <f t="shared" si="12"/>
        <v>0</v>
      </c>
      <c r="H38" s="40">
        <f t="shared" si="12"/>
        <v>0</v>
      </c>
      <c r="I38" s="40">
        <f t="shared" si="12"/>
        <v>0</v>
      </c>
      <c r="J38" s="40">
        <f t="shared" si="12"/>
        <v>0</v>
      </c>
      <c r="K38" s="40">
        <f t="shared" si="12"/>
        <v>0</v>
      </c>
      <c r="L38" s="40">
        <f t="shared" si="12"/>
        <v>0</v>
      </c>
      <c r="M38" s="40">
        <f t="shared" si="12"/>
        <v>0</v>
      </c>
      <c r="N38" s="40">
        <f t="shared" si="12"/>
        <v>0</v>
      </c>
      <c r="O38" s="40">
        <f t="shared" si="12"/>
        <v>0</v>
      </c>
      <c r="P38" s="40">
        <f t="shared" si="12"/>
        <v>0</v>
      </c>
      <c r="Q38" s="40">
        <f t="shared" si="12"/>
        <v>0</v>
      </c>
      <c r="R38" s="40">
        <f t="shared" si="12"/>
        <v>0</v>
      </c>
      <c r="S38" s="40">
        <f t="shared" si="12"/>
        <v>0</v>
      </c>
      <c r="T38" s="40">
        <f t="shared" si="12"/>
        <v>0</v>
      </c>
      <c r="U38" s="40">
        <f t="shared" si="12"/>
        <v>0</v>
      </c>
      <c r="V38" s="40">
        <f t="shared" si="12"/>
        <v>0</v>
      </c>
      <c r="W38" s="40">
        <f t="shared" si="12"/>
        <v>0</v>
      </c>
      <c r="X38" s="40">
        <f t="shared" si="12"/>
        <v>0</v>
      </c>
      <c r="Y38" s="40">
        <f t="shared" si="12"/>
        <v>0</v>
      </c>
      <c r="Z38" s="40">
        <f t="shared" si="12"/>
        <v>0</v>
      </c>
      <c r="AA38" s="40">
        <f t="shared" si="12"/>
        <v>0</v>
      </c>
      <c r="AB38" s="40">
        <f t="shared" si="12"/>
        <v>0</v>
      </c>
      <c r="AC38" s="40">
        <f t="shared" si="12"/>
        <v>0</v>
      </c>
      <c r="AD38" s="40">
        <f t="shared" si="12"/>
        <v>0</v>
      </c>
      <c r="AE38" s="40">
        <f t="shared" si="12"/>
        <v>0</v>
      </c>
      <c r="AF38" s="40">
        <f t="shared" si="12"/>
        <v>0</v>
      </c>
    </row>
  </sheetData>
  <mergeCells count="98">
    <mergeCell ref="AE11:AF11"/>
    <mergeCell ref="J8:L8"/>
    <mergeCell ref="AC3:AE3"/>
    <mergeCell ref="W15:Y15"/>
    <mergeCell ref="AE13:AF13"/>
    <mergeCell ref="T15:V15"/>
    <mergeCell ref="AE12:AF12"/>
    <mergeCell ref="W13:Y13"/>
    <mergeCell ref="K14:W14"/>
    <mergeCell ref="U13:V13"/>
    <mergeCell ref="Z15:AD15"/>
    <mergeCell ref="O15:Q15"/>
    <mergeCell ref="AE15:AF15"/>
    <mergeCell ref="Z13:AB13"/>
    <mergeCell ref="R15:S15"/>
    <mergeCell ref="L13:P13"/>
    <mergeCell ref="P4:R4"/>
    <mergeCell ref="AE10:AF10"/>
    <mergeCell ref="AE9:AF9"/>
    <mergeCell ref="W5:Y5"/>
    <mergeCell ref="Y7:AB7"/>
    <mergeCell ref="T8:Y8"/>
    <mergeCell ref="AA6:AE6"/>
    <mergeCell ref="AD5:AF5"/>
    <mergeCell ref="Y4:AA4"/>
    <mergeCell ref="Q7:S7"/>
    <mergeCell ref="AA9:AD9"/>
    <mergeCell ref="L7:P7"/>
    <mergeCell ref="S4:T4"/>
    <mergeCell ref="J9:M9"/>
    <mergeCell ref="N9:Q9"/>
    <mergeCell ref="W9:Z9"/>
    <mergeCell ref="AB11:AD11"/>
    <mergeCell ref="U11:W11"/>
    <mergeCell ref="N11:P11"/>
    <mergeCell ref="T10:W10"/>
    <mergeCell ref="AB10:AD10"/>
    <mergeCell ref="X11:AA11"/>
    <mergeCell ref="X10:AA10"/>
    <mergeCell ref="P10:S10"/>
    <mergeCell ref="Q11:T11"/>
    <mergeCell ref="X14:AA14"/>
    <mergeCell ref="Z12:AB12"/>
    <mergeCell ref="X12:Y12"/>
    <mergeCell ref="N12:S12"/>
    <mergeCell ref="J13:K13"/>
    <mergeCell ref="U12:W12"/>
    <mergeCell ref="AB14:AD14"/>
    <mergeCell ref="Q13:T13"/>
    <mergeCell ref="AC13:AD13"/>
    <mergeCell ref="AB4:AE4"/>
    <mergeCell ref="C14:D14"/>
    <mergeCell ref="F8:I8"/>
    <mergeCell ref="C9:H9"/>
    <mergeCell ref="C11:D11"/>
    <mergeCell ref="C13:D13"/>
    <mergeCell ref="H11:L11"/>
    <mergeCell ref="E13:I15"/>
    <mergeCell ref="K10:N10"/>
    <mergeCell ref="F12:I12"/>
    <mergeCell ref="C8:E8"/>
    <mergeCell ref="J15:N15"/>
    <mergeCell ref="K12:M12"/>
    <mergeCell ref="C10:I10"/>
    <mergeCell ref="F11:G11"/>
    <mergeCell ref="D12:E12"/>
    <mergeCell ref="M4:O4"/>
    <mergeCell ref="F6:H6"/>
    <mergeCell ref="Z3:AB3"/>
    <mergeCell ref="F7:G7"/>
    <mergeCell ref="S9:U9"/>
    <mergeCell ref="I6:K6"/>
    <mergeCell ref="AA5:AC5"/>
    <mergeCell ref="AC7:AF7"/>
    <mergeCell ref="R5:V5"/>
    <mergeCell ref="K5:M5"/>
    <mergeCell ref="H7:J7"/>
    <mergeCell ref="U7:W7"/>
    <mergeCell ref="U4:W4"/>
    <mergeCell ref="M8:O8"/>
    <mergeCell ref="AA8:AE8"/>
    <mergeCell ref="P8:S8"/>
    <mergeCell ref="V3:Y3"/>
    <mergeCell ref="C3:C4"/>
    <mergeCell ref="L6:P6"/>
    <mergeCell ref="N3:Q3"/>
    <mergeCell ref="N5:Q5"/>
    <mergeCell ref="C6:D6"/>
    <mergeCell ref="F5:I5"/>
    <mergeCell ref="E3:H3"/>
    <mergeCell ref="Q6:R6"/>
    <mergeCell ref="C5:E5"/>
    <mergeCell ref="D4:E4"/>
    <mergeCell ref="I3:L3"/>
    <mergeCell ref="J4:L4"/>
    <mergeCell ref="F4:I4"/>
    <mergeCell ref="R3:U3"/>
    <mergeCell ref="S6:Y6"/>
  </mergeCells>
  <conditionalFormatting sqref="C17:AF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5C37-30DE-45F1-9F77-EE04DAF7AF52}">
  <dimension ref="A1:AG39"/>
  <sheetViews>
    <sheetView zoomScale="40" zoomScaleNormal="40" workbookViewId="0">
      <pane xSplit="2" ySplit="2" topLeftCell="U3" activePane="bottomRight" state="frozen"/>
      <selection pane="bottomRight" activeCell="AA12" sqref="AA12:AC12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hidden="1" customWidth="1"/>
    <col min="4" max="4" width="21.42578125" style="26" hidden="1" customWidth="1"/>
    <col min="5" max="7" width="15.5703125" style="26" hidden="1" customWidth="1"/>
    <col min="8" max="8" width="17.42578125" style="26" hidden="1" customWidth="1"/>
    <col min="9" max="12" width="15.5703125" style="26" hidden="1" customWidth="1"/>
    <col min="13" max="13" width="18.42578125" style="26" hidden="1" customWidth="1"/>
    <col min="14" max="14" width="15.5703125" style="26" hidden="1" customWidth="1"/>
    <col min="15" max="15" width="19.85546875" style="26" hidden="1" customWidth="1"/>
    <col min="16" max="19" width="19.5703125" style="26" hidden="1" customWidth="1"/>
    <col min="20" max="20" width="20.42578125" style="26" hidden="1" customWidth="1"/>
    <col min="21" max="26" width="15.5703125" style="26" customWidth="1"/>
    <col min="27" max="30" width="19" style="26" customWidth="1"/>
    <col min="31" max="33" width="15.2851562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28" t="s">
        <v>4</v>
      </c>
      <c r="D2" s="28" t="s">
        <v>5</v>
      </c>
      <c r="E2" s="29" t="s">
        <v>6</v>
      </c>
      <c r="F2" s="29" t="s">
        <v>7</v>
      </c>
      <c r="G2" s="28" t="s">
        <v>8</v>
      </c>
      <c r="H2" s="30" t="s">
        <v>2</v>
      </c>
      <c r="I2" s="31" t="s">
        <v>3</v>
      </c>
      <c r="J2" s="28" t="s">
        <v>4</v>
      </c>
      <c r="K2" s="28" t="s">
        <v>5</v>
      </c>
      <c r="L2" s="29" t="s">
        <v>6</v>
      </c>
      <c r="M2" s="28" t="s">
        <v>7</v>
      </c>
      <c r="N2" s="28" t="s">
        <v>8</v>
      </c>
      <c r="O2" s="30" t="s">
        <v>2</v>
      </c>
      <c r="P2" s="31" t="s">
        <v>3</v>
      </c>
      <c r="Q2" s="28" t="s">
        <v>4</v>
      </c>
      <c r="R2" s="28" t="s">
        <v>5</v>
      </c>
      <c r="S2" s="29" t="s">
        <v>6</v>
      </c>
      <c r="T2" s="52" t="s">
        <v>7</v>
      </c>
      <c r="U2" s="52" t="s">
        <v>8</v>
      </c>
      <c r="V2" s="50" t="s">
        <v>2</v>
      </c>
      <c r="W2" s="51" t="s">
        <v>3</v>
      </c>
      <c r="X2" s="52" t="s">
        <v>4</v>
      </c>
      <c r="Y2" s="52" t="s">
        <v>5</v>
      </c>
      <c r="Z2" s="53" t="s">
        <v>6</v>
      </c>
      <c r="AA2" s="52" t="s">
        <v>7</v>
      </c>
      <c r="AB2" s="52" t="s">
        <v>8</v>
      </c>
      <c r="AC2" s="50" t="s">
        <v>2</v>
      </c>
      <c r="AD2" s="51" t="s">
        <v>3</v>
      </c>
      <c r="AE2" s="52" t="s">
        <v>4</v>
      </c>
      <c r="AF2" s="52" t="s">
        <v>5</v>
      </c>
      <c r="AG2" s="53" t="s">
        <v>6</v>
      </c>
    </row>
    <row r="3" spans="1:33" ht="85.5" customHeight="1">
      <c r="A3" s="32">
        <v>1</v>
      </c>
      <c r="B3" s="33" t="s">
        <v>9</v>
      </c>
      <c r="C3" s="215" t="s">
        <v>18</v>
      </c>
      <c r="D3" s="225"/>
      <c r="E3" s="254" t="s">
        <v>125</v>
      </c>
      <c r="F3" s="255"/>
      <c r="G3" s="255"/>
      <c r="H3" s="255"/>
      <c r="I3" s="298"/>
      <c r="J3" s="254" t="s">
        <v>126</v>
      </c>
      <c r="K3" s="255"/>
      <c r="L3" s="298"/>
      <c r="M3" s="67"/>
      <c r="N3" s="372" t="s">
        <v>127</v>
      </c>
      <c r="O3" s="373"/>
      <c r="P3" s="373"/>
      <c r="Q3" s="374"/>
      <c r="R3" s="375"/>
      <c r="S3" s="54">
        <v>1</v>
      </c>
      <c r="T3" s="382" t="s">
        <v>128</v>
      </c>
      <c r="U3" s="383"/>
      <c r="V3" s="383"/>
      <c r="W3" s="383"/>
      <c r="X3" s="383"/>
      <c r="Y3" s="383"/>
      <c r="Z3" s="384"/>
      <c r="AA3" s="245" t="s">
        <v>129</v>
      </c>
      <c r="AB3" s="246"/>
      <c r="AC3" s="246"/>
      <c r="AD3" s="247"/>
      <c r="AE3" s="400" t="s">
        <v>130</v>
      </c>
      <c r="AF3" s="401"/>
      <c r="AG3" s="241"/>
    </row>
    <row r="4" spans="1:33" ht="85.5" customHeight="1">
      <c r="A4" s="34">
        <v>2</v>
      </c>
      <c r="B4" s="33" t="s">
        <v>9</v>
      </c>
      <c r="C4" s="215" t="s">
        <v>28</v>
      </c>
      <c r="D4" s="225"/>
      <c r="E4" s="215" t="s">
        <v>131</v>
      </c>
      <c r="F4" s="279"/>
      <c r="G4" s="225"/>
      <c r="H4" s="281" t="s">
        <v>132</v>
      </c>
      <c r="I4" s="282"/>
      <c r="J4" s="282"/>
      <c r="K4" s="297"/>
      <c r="L4" s="75"/>
      <c r="M4" s="395" t="s">
        <v>133</v>
      </c>
      <c r="N4" s="373"/>
      <c r="O4" s="373"/>
      <c r="P4" s="373"/>
      <c r="Q4" s="391" t="s">
        <v>134</v>
      </c>
      <c r="R4" s="392"/>
      <c r="S4" s="393"/>
      <c r="T4" s="401" t="s">
        <v>135</v>
      </c>
      <c r="U4" s="401"/>
      <c r="V4" s="360"/>
      <c r="W4" s="360"/>
      <c r="X4" s="361"/>
      <c r="Y4" s="231" t="s">
        <v>136</v>
      </c>
      <c r="Z4" s="394"/>
      <c r="AA4" s="343"/>
      <c r="AB4" s="255"/>
      <c r="AC4" s="255"/>
      <c r="AD4" s="390"/>
      <c r="AE4" s="402"/>
      <c r="AF4" s="246"/>
      <c r="AG4" s="247"/>
    </row>
    <row r="5" spans="1:33" ht="108" customHeight="1">
      <c r="A5" s="34">
        <v>3</v>
      </c>
      <c r="B5" s="33" t="s">
        <v>29</v>
      </c>
      <c r="C5" s="215" t="s">
        <v>137</v>
      </c>
      <c r="D5" s="225"/>
      <c r="E5" s="279" t="s">
        <v>138</v>
      </c>
      <c r="F5" s="279"/>
      <c r="G5" s="279"/>
      <c r="H5" s="225"/>
      <c r="I5" s="215" t="s">
        <v>139</v>
      </c>
      <c r="J5" s="279"/>
      <c r="K5" s="225"/>
      <c r="L5" s="215" t="s">
        <v>140</v>
      </c>
      <c r="M5" s="279"/>
      <c r="N5" s="225"/>
      <c r="O5" s="343" t="s">
        <v>141</v>
      </c>
      <c r="P5" s="255"/>
      <c r="Q5" s="255"/>
      <c r="R5" s="255"/>
      <c r="S5" s="376" t="s">
        <v>142</v>
      </c>
      <c r="T5" s="251"/>
      <c r="U5" s="404"/>
      <c r="V5" s="279" t="s">
        <v>143</v>
      </c>
      <c r="W5" s="279"/>
      <c r="X5" s="225"/>
      <c r="Y5" s="54">
        <v>1</v>
      </c>
      <c r="Z5" s="405" t="s">
        <v>144</v>
      </c>
      <c r="AA5" s="406"/>
      <c r="AB5" s="406"/>
      <c r="AC5" s="406"/>
      <c r="AD5" s="406"/>
      <c r="AE5" s="406"/>
      <c r="AF5" s="84"/>
      <c r="AG5" s="186" t="s">
        <v>145</v>
      </c>
    </row>
    <row r="6" spans="1:33" ht="108" customHeight="1">
      <c r="A6" s="34">
        <v>4</v>
      </c>
      <c r="B6" s="33" t="s">
        <v>37</v>
      </c>
      <c r="C6" s="281" t="s">
        <v>45</v>
      </c>
      <c r="D6" s="379"/>
      <c r="E6" s="388" t="s">
        <v>146</v>
      </c>
      <c r="F6" s="279"/>
      <c r="G6" s="432"/>
      <c r="H6" s="431" t="s">
        <v>147</v>
      </c>
      <c r="I6" s="386"/>
      <c r="J6" s="387"/>
      <c r="K6" s="46">
        <v>1</v>
      </c>
      <c r="L6" s="215" t="s">
        <v>148</v>
      </c>
      <c r="M6" s="279"/>
      <c r="N6" s="225"/>
      <c r="O6" s="215" t="s">
        <v>149</v>
      </c>
      <c r="P6" s="279"/>
      <c r="Q6" s="225"/>
      <c r="R6" s="86">
        <v>1</v>
      </c>
      <c r="S6" s="85">
        <v>1</v>
      </c>
      <c r="T6" s="385" t="s">
        <v>150</v>
      </c>
      <c r="U6" s="259"/>
      <c r="V6" s="386"/>
      <c r="W6" s="387"/>
      <c r="X6" s="78">
        <v>1</v>
      </c>
      <c r="Y6" s="411" t="s">
        <v>151</v>
      </c>
      <c r="Z6" s="283"/>
      <c r="AA6" s="412"/>
      <c r="AB6" s="413" t="s">
        <v>152</v>
      </c>
      <c r="AC6" s="283"/>
      <c r="AD6" s="412"/>
      <c r="AE6" s="413" t="s">
        <v>153</v>
      </c>
      <c r="AF6" s="287"/>
      <c r="AG6" s="163" t="s">
        <v>154</v>
      </c>
    </row>
    <row r="7" spans="1:33" ht="85.5" customHeight="1">
      <c r="A7" s="34">
        <v>5</v>
      </c>
      <c r="B7" s="33" t="s">
        <v>37</v>
      </c>
      <c r="C7" s="215" t="s">
        <v>137</v>
      </c>
      <c r="D7" s="225"/>
      <c r="E7" s="218" t="s">
        <v>155</v>
      </c>
      <c r="F7" s="216"/>
      <c r="G7" s="216"/>
      <c r="H7" s="376" t="s">
        <v>156</v>
      </c>
      <c r="I7" s="251"/>
      <c r="J7" s="251"/>
      <c r="K7" s="404"/>
      <c r="L7" s="428" t="s">
        <v>157</v>
      </c>
      <c r="M7" s="428"/>
      <c r="N7" s="429"/>
      <c r="O7" s="389" t="s">
        <v>158</v>
      </c>
      <c r="P7" s="282"/>
      <c r="Q7" s="297"/>
      <c r="R7" s="381" t="s">
        <v>159</v>
      </c>
      <c r="S7" s="386"/>
      <c r="T7" s="399"/>
      <c r="U7" s="424" t="s">
        <v>160</v>
      </c>
      <c r="V7" s="425"/>
      <c r="W7" s="425"/>
      <c r="X7" s="425"/>
      <c r="Y7" s="362" t="s">
        <v>161</v>
      </c>
      <c r="Z7" s="362"/>
      <c r="AA7" s="362"/>
      <c r="AB7" s="362"/>
      <c r="AC7" s="362"/>
      <c r="AD7" s="93">
        <v>1</v>
      </c>
      <c r="AE7" s="255" t="s">
        <v>162</v>
      </c>
      <c r="AF7" s="255"/>
      <c r="AG7" s="225"/>
    </row>
    <row r="8" spans="1:33" ht="103.35" customHeight="1">
      <c r="A8" s="34">
        <v>6</v>
      </c>
      <c r="B8" s="33" t="s">
        <v>9</v>
      </c>
      <c r="C8" s="422" t="s">
        <v>62</v>
      </c>
      <c r="D8" s="423"/>
      <c r="E8" s="376" t="s">
        <v>163</v>
      </c>
      <c r="F8" s="251"/>
      <c r="G8" s="251"/>
      <c r="H8" s="252"/>
      <c r="I8" s="252"/>
      <c r="J8" s="377"/>
      <c r="K8" s="255" t="s">
        <v>164</v>
      </c>
      <c r="L8" s="255"/>
      <c r="M8" s="255"/>
      <c r="N8" s="390"/>
      <c r="O8" s="388" t="s">
        <v>165</v>
      </c>
      <c r="P8" s="279"/>
      <c r="Q8" s="225"/>
      <c r="R8" s="46">
        <v>1</v>
      </c>
      <c r="S8" s="424" t="s">
        <v>166</v>
      </c>
      <c r="T8" s="425"/>
      <c r="U8" s="426"/>
      <c r="V8" s="91"/>
      <c r="W8" s="427" t="s">
        <v>167</v>
      </c>
      <c r="X8" s="427"/>
      <c r="Y8" s="427"/>
      <c r="Z8" s="427"/>
      <c r="AA8" s="218" t="s">
        <v>168</v>
      </c>
      <c r="AB8" s="216"/>
      <c r="AC8" s="217"/>
      <c r="AD8" s="93">
        <v>1</v>
      </c>
      <c r="AE8" s="279" t="s">
        <v>169</v>
      </c>
      <c r="AF8" s="279"/>
      <c r="AG8" s="225"/>
    </row>
    <row r="9" spans="1:33" ht="92.85" customHeight="1">
      <c r="A9" s="34">
        <v>7</v>
      </c>
      <c r="B9" s="35" t="s">
        <v>9</v>
      </c>
      <c r="C9" s="376" t="s">
        <v>70</v>
      </c>
      <c r="D9" s="251"/>
      <c r="E9" s="377"/>
      <c r="F9" s="315" t="s">
        <v>170</v>
      </c>
      <c r="G9" s="315"/>
      <c r="H9" s="316"/>
      <c r="I9" s="254" t="s">
        <v>171</v>
      </c>
      <c r="J9" s="255"/>
      <c r="K9" s="225"/>
      <c r="L9" s="215" t="s">
        <v>172</v>
      </c>
      <c r="M9" s="279"/>
      <c r="N9" s="225"/>
      <c r="O9" s="434" t="s">
        <v>173</v>
      </c>
      <c r="P9" s="435"/>
      <c r="Q9" s="435"/>
      <c r="R9" s="435"/>
      <c r="S9" s="436"/>
      <c r="T9" s="397" t="s">
        <v>174</v>
      </c>
      <c r="U9" s="398"/>
      <c r="V9" s="398"/>
      <c r="W9" s="398"/>
      <c r="X9" s="398"/>
      <c r="Y9" s="398"/>
      <c r="Z9" s="397" t="s">
        <v>175</v>
      </c>
      <c r="AA9" s="398"/>
      <c r="AB9" s="398"/>
      <c r="AC9" s="398"/>
      <c r="AD9" s="94">
        <v>1</v>
      </c>
      <c r="AE9" s="218" t="s">
        <v>176</v>
      </c>
      <c r="AF9" s="216"/>
      <c r="AG9" s="225"/>
    </row>
    <row r="10" spans="1:33" ht="102.6" customHeight="1">
      <c r="A10" s="34">
        <v>8</v>
      </c>
      <c r="B10" s="33" t="s">
        <v>9</v>
      </c>
      <c r="C10" s="370" t="s">
        <v>77</v>
      </c>
      <c r="D10" s="246"/>
      <c r="E10" s="298"/>
      <c r="F10" s="323" t="s">
        <v>177</v>
      </c>
      <c r="G10" s="324"/>
      <c r="H10" s="324"/>
      <c r="I10" s="324"/>
      <c r="J10" s="324"/>
      <c r="K10" s="325"/>
      <c r="L10" s="389" t="s">
        <v>178</v>
      </c>
      <c r="M10" s="282"/>
      <c r="N10" s="282"/>
      <c r="O10" s="297"/>
      <c r="P10" s="372" t="s">
        <v>179</v>
      </c>
      <c r="Q10" s="373"/>
      <c r="R10" s="373"/>
      <c r="S10" s="373"/>
      <c r="T10" s="362" t="s">
        <v>180</v>
      </c>
      <c r="U10" s="362"/>
      <c r="V10" s="362"/>
      <c r="W10" s="362"/>
      <c r="X10" s="90"/>
      <c r="Y10" s="380" t="s">
        <v>181</v>
      </c>
      <c r="Z10" s="420"/>
      <c r="AA10" s="396" t="s">
        <v>182</v>
      </c>
      <c r="AB10" s="396"/>
      <c r="AC10" s="396"/>
      <c r="AD10" s="215" t="s">
        <v>183</v>
      </c>
      <c r="AE10" s="279"/>
      <c r="AF10" s="225"/>
      <c r="AG10" s="190" t="s">
        <v>184</v>
      </c>
    </row>
    <row r="11" spans="1:33" ht="85.5" customHeight="1">
      <c r="A11" s="34">
        <v>9</v>
      </c>
      <c r="B11" s="35" t="s">
        <v>29</v>
      </c>
      <c r="C11" s="194" t="s">
        <v>87</v>
      </c>
      <c r="D11" s="66"/>
      <c r="E11" s="1" t="s">
        <v>185</v>
      </c>
      <c r="F11" s="215" t="s">
        <v>186</v>
      </c>
      <c r="G11" s="279"/>
      <c r="H11" s="225"/>
      <c r="I11" s="281" t="s">
        <v>187</v>
      </c>
      <c r="J11" s="297"/>
      <c r="K11" s="215" t="s">
        <v>188</v>
      </c>
      <c r="L11" s="279"/>
      <c r="M11" s="225"/>
      <c r="N11" s="218" t="s">
        <v>189</v>
      </c>
      <c r="O11" s="216"/>
      <c r="P11" s="216"/>
      <c r="Q11" s="217"/>
      <c r="R11" s="67"/>
      <c r="S11" s="417" t="s">
        <v>190</v>
      </c>
      <c r="T11" s="418"/>
      <c r="U11" s="418"/>
      <c r="V11" s="419"/>
      <c r="W11" s="370" t="s">
        <v>191</v>
      </c>
      <c r="X11" s="246"/>
      <c r="Y11" s="371"/>
      <c r="Z11" s="323" t="s">
        <v>144</v>
      </c>
      <c r="AA11" s="324"/>
      <c r="AB11" s="324"/>
      <c r="AC11" s="324"/>
      <c r="AD11" s="357"/>
      <c r="AE11" s="358"/>
      <c r="AF11" s="407" t="s">
        <v>192</v>
      </c>
      <c r="AG11" s="404"/>
    </row>
    <row r="12" spans="1:33" ht="85.5" customHeight="1">
      <c r="A12" s="34">
        <v>10</v>
      </c>
      <c r="B12" s="33" t="s">
        <v>37</v>
      </c>
      <c r="C12" s="254" t="s">
        <v>95</v>
      </c>
      <c r="D12" s="255"/>
      <c r="E12" s="225"/>
      <c r="F12" s="281" t="s">
        <v>193</v>
      </c>
      <c r="G12" s="282"/>
      <c r="H12" s="282"/>
      <c r="I12" s="379"/>
      <c r="J12" s="66"/>
      <c r="K12" s="215" t="s">
        <v>194</v>
      </c>
      <c r="L12" s="279"/>
      <c r="M12" s="225"/>
      <c r="N12" s="254"/>
      <c r="O12" s="255"/>
      <c r="P12" s="255"/>
      <c r="Q12" s="298"/>
      <c r="R12" s="408" t="s">
        <v>195</v>
      </c>
      <c r="S12" s="409"/>
      <c r="T12" s="410"/>
      <c r="U12" s="215" t="s">
        <v>196</v>
      </c>
      <c r="V12" s="279"/>
      <c r="W12" s="279"/>
      <c r="X12" s="279"/>
      <c r="Y12" s="225"/>
      <c r="Z12" s="77"/>
      <c r="AA12" s="252" t="s">
        <v>197</v>
      </c>
      <c r="AB12" s="252"/>
      <c r="AC12" s="377"/>
      <c r="AD12" s="93">
        <v>1</v>
      </c>
      <c r="AE12" s="254" t="s">
        <v>198</v>
      </c>
      <c r="AF12" s="255"/>
      <c r="AG12" s="298"/>
    </row>
    <row r="13" spans="1:33" ht="85.5" customHeight="1">
      <c r="A13" s="34">
        <v>11</v>
      </c>
      <c r="B13" s="33" t="s">
        <v>37</v>
      </c>
      <c r="C13" s="421" t="s">
        <v>199</v>
      </c>
      <c r="D13" s="282"/>
      <c r="E13" s="297"/>
      <c r="F13" s="215" t="s">
        <v>200</v>
      </c>
      <c r="G13" s="279"/>
      <c r="H13" s="279"/>
      <c r="I13" s="225"/>
      <c r="J13" s="281" t="s">
        <v>201</v>
      </c>
      <c r="K13" s="282"/>
      <c r="L13" s="282"/>
      <c r="M13" s="282"/>
      <c r="N13" s="282"/>
      <c r="O13" s="297"/>
      <c r="P13" s="57">
        <v>1</v>
      </c>
      <c r="Q13" s="57">
        <v>1</v>
      </c>
      <c r="R13" s="434" t="s">
        <v>202</v>
      </c>
      <c r="S13" s="436"/>
      <c r="T13" s="437"/>
      <c r="U13" s="254" t="s">
        <v>203</v>
      </c>
      <c r="V13" s="255"/>
      <c r="W13" s="255"/>
      <c r="X13" s="390"/>
      <c r="Y13" s="77"/>
      <c r="Z13" s="254" t="s">
        <v>204</v>
      </c>
      <c r="AA13" s="255"/>
      <c r="AB13" s="255"/>
      <c r="AC13" s="298"/>
      <c r="AD13" s="215" t="s">
        <v>205</v>
      </c>
      <c r="AE13" s="225"/>
      <c r="AF13" s="281" t="s">
        <v>206</v>
      </c>
      <c r="AG13" s="297"/>
    </row>
    <row r="14" spans="1:33" ht="85.5" customHeight="1">
      <c r="A14" s="34">
        <v>12</v>
      </c>
      <c r="B14" s="33" t="s">
        <v>9</v>
      </c>
      <c r="C14" s="215" t="s">
        <v>110</v>
      </c>
      <c r="D14" s="225"/>
      <c r="E14" s="281" t="s">
        <v>207</v>
      </c>
      <c r="F14" s="282"/>
      <c r="G14" s="282"/>
      <c r="H14" s="297"/>
      <c r="I14" s="281" t="s">
        <v>208</v>
      </c>
      <c r="J14" s="282"/>
      <c r="K14" s="379"/>
      <c r="L14" s="433" t="s">
        <v>209</v>
      </c>
      <c r="M14" s="337"/>
      <c r="N14" s="337"/>
      <c r="O14" s="337"/>
      <c r="P14" s="338"/>
      <c r="Q14" s="372" t="s">
        <v>210</v>
      </c>
      <c r="R14" s="373"/>
      <c r="S14" s="373"/>
      <c r="T14" s="373"/>
      <c r="U14" s="416"/>
      <c r="V14" s="281" t="s">
        <v>211</v>
      </c>
      <c r="W14" s="282"/>
      <c r="X14" s="297"/>
      <c r="Y14" s="362" t="s">
        <v>212</v>
      </c>
      <c r="Z14" s="362"/>
      <c r="AA14" s="362"/>
      <c r="AB14" s="362"/>
      <c r="AC14" s="398" t="s">
        <v>213</v>
      </c>
      <c r="AD14" s="398"/>
      <c r="AE14" s="216" t="s">
        <v>214</v>
      </c>
      <c r="AF14" s="216"/>
      <c r="AG14" s="217"/>
    </row>
    <row r="15" spans="1:33" ht="85.5" customHeight="1">
      <c r="A15" s="34" t="s">
        <v>111</v>
      </c>
      <c r="B15" s="33" t="s">
        <v>112</v>
      </c>
      <c r="C15" s="192" t="s">
        <v>120</v>
      </c>
      <c r="D15" s="63" t="s">
        <v>215</v>
      </c>
      <c r="E15" s="66"/>
      <c r="F15" s="414" t="s">
        <v>216</v>
      </c>
      <c r="G15" s="415"/>
      <c r="H15" s="215" t="s">
        <v>217</v>
      </c>
      <c r="I15" s="279"/>
      <c r="J15" s="279"/>
      <c r="K15" s="225"/>
      <c r="L15" s="215" t="s">
        <v>218</v>
      </c>
      <c r="M15" s="279"/>
      <c r="N15" s="279"/>
      <c r="O15" s="225"/>
      <c r="P15" s="23">
        <v>1</v>
      </c>
      <c r="Q15" s="372" t="s">
        <v>219</v>
      </c>
      <c r="R15" s="373"/>
      <c r="S15" s="373"/>
      <c r="T15" s="373"/>
      <c r="U15" s="416"/>
      <c r="V15" s="215" t="s">
        <v>220</v>
      </c>
      <c r="W15" s="279"/>
      <c r="X15" s="225"/>
      <c r="Y15" s="403" t="s">
        <v>221</v>
      </c>
      <c r="Z15" s="403"/>
      <c r="AA15" s="403"/>
      <c r="AB15" s="397" t="s">
        <v>222</v>
      </c>
      <c r="AC15" s="398"/>
      <c r="AD15" s="398"/>
      <c r="AE15" s="329" t="s">
        <v>223</v>
      </c>
      <c r="AF15" s="330"/>
      <c r="AG15" s="430"/>
    </row>
    <row r="16" spans="1:33" ht="84.95" customHeight="1">
      <c r="A16" s="36"/>
      <c r="B16" s="37"/>
      <c r="C16" s="38">
        <f>(31*13-SUM(C18:AG21))/(31*13)</f>
        <v>0.9652605459057072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 ht="84.95" customHeight="1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 ht="85.5" customHeight="1">
      <c r="A18" s="2"/>
      <c r="B18" s="3" t="s">
        <v>121</v>
      </c>
      <c r="C18" s="2">
        <f t="shared" ref="C18:AG18" si="0">C29+C35</f>
        <v>0</v>
      </c>
      <c r="D18" s="2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 t="shared" si="0"/>
        <v>0</v>
      </c>
      <c r="K18" s="4">
        <f t="shared" si="0"/>
        <v>0</v>
      </c>
      <c r="L18" s="4">
        <f t="shared" si="0"/>
        <v>0</v>
      </c>
      <c r="M18" s="4">
        <f t="shared" si="0"/>
        <v>0</v>
      </c>
      <c r="N18" s="4">
        <f t="shared" si="0"/>
        <v>0</v>
      </c>
      <c r="O18" s="4">
        <f t="shared" si="0"/>
        <v>0</v>
      </c>
      <c r="P18" s="4">
        <f t="shared" si="0"/>
        <v>0</v>
      </c>
      <c r="Q18" s="4">
        <f t="shared" si="0"/>
        <v>0</v>
      </c>
      <c r="R18" s="4">
        <f t="shared" si="0"/>
        <v>0</v>
      </c>
      <c r="S18" s="4">
        <f t="shared" si="0"/>
        <v>0</v>
      </c>
      <c r="T18" s="4">
        <f t="shared" si="0"/>
        <v>0</v>
      </c>
      <c r="U18" s="4">
        <f t="shared" si="0"/>
        <v>0</v>
      </c>
      <c r="V18" s="4">
        <f t="shared" si="0"/>
        <v>0</v>
      </c>
      <c r="W18" s="4">
        <f t="shared" si="0"/>
        <v>0</v>
      </c>
      <c r="X18" s="4">
        <f t="shared" si="0"/>
        <v>0</v>
      </c>
      <c r="Y18" s="4">
        <f t="shared" si="0"/>
        <v>1</v>
      </c>
      <c r="Z18" s="4">
        <f t="shared" si="0"/>
        <v>0</v>
      </c>
      <c r="AA18" s="4">
        <f t="shared" si="0"/>
        <v>0</v>
      </c>
      <c r="AB18" s="4">
        <f t="shared" si="0"/>
        <v>0</v>
      </c>
      <c r="AC18" s="4">
        <f t="shared" si="0"/>
        <v>0</v>
      </c>
      <c r="AD18" s="4">
        <f t="shared" si="0"/>
        <v>0</v>
      </c>
      <c r="AE18" s="4">
        <f t="shared" si="0"/>
        <v>0</v>
      </c>
      <c r="AF18" s="4">
        <f t="shared" si="0"/>
        <v>0</v>
      </c>
      <c r="AG18" s="4">
        <f t="shared" si="0"/>
        <v>0</v>
      </c>
    </row>
    <row r="19" spans="1:33" ht="85.5" customHeight="1">
      <c r="A19" s="2"/>
      <c r="B19" s="3" t="s">
        <v>122</v>
      </c>
      <c r="C19" s="2">
        <f t="shared" ref="C19:AG19" si="1">C27+C28+C32+C33+C34+C38</f>
        <v>0</v>
      </c>
      <c r="D19" s="2">
        <f t="shared" si="1"/>
        <v>0</v>
      </c>
      <c r="E19" s="4">
        <f t="shared" si="1"/>
        <v>0</v>
      </c>
      <c r="F19" s="4">
        <f t="shared" si="1"/>
        <v>0</v>
      </c>
      <c r="G19" s="4">
        <f t="shared" si="1"/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M19" s="4">
        <f t="shared" si="1"/>
        <v>0</v>
      </c>
      <c r="N19" s="4">
        <f t="shared" si="1"/>
        <v>0</v>
      </c>
      <c r="O19" s="4">
        <f t="shared" si="1"/>
        <v>0</v>
      </c>
      <c r="P19" s="4">
        <f t="shared" si="1"/>
        <v>0</v>
      </c>
      <c r="Q19" s="4">
        <f t="shared" si="1"/>
        <v>0</v>
      </c>
      <c r="R19" s="4">
        <f t="shared" si="1"/>
        <v>1</v>
      </c>
      <c r="S19" s="4">
        <f t="shared" si="1"/>
        <v>1</v>
      </c>
      <c r="T19" s="4">
        <f t="shared" si="1"/>
        <v>0</v>
      </c>
      <c r="U19" s="4">
        <f t="shared" si="1"/>
        <v>0</v>
      </c>
      <c r="V19" s="4">
        <f t="shared" si="1"/>
        <v>0</v>
      </c>
      <c r="W19" s="4">
        <f t="shared" si="1"/>
        <v>0</v>
      </c>
      <c r="X19" s="4">
        <f t="shared" si="1"/>
        <v>0</v>
      </c>
      <c r="Y19" s="4">
        <f t="shared" si="1"/>
        <v>0</v>
      </c>
      <c r="Z19" s="4">
        <f t="shared" si="1"/>
        <v>0</v>
      </c>
      <c r="AA19" s="4">
        <f t="shared" si="1"/>
        <v>0</v>
      </c>
      <c r="AB19" s="4">
        <f t="shared" si="1"/>
        <v>0</v>
      </c>
      <c r="AC19" s="4">
        <f t="shared" si="1"/>
        <v>0</v>
      </c>
      <c r="AD19" s="4">
        <f t="shared" si="1"/>
        <v>2</v>
      </c>
      <c r="AE19" s="4">
        <f t="shared" si="1"/>
        <v>0</v>
      </c>
      <c r="AF19" s="4">
        <f t="shared" si="1"/>
        <v>0</v>
      </c>
      <c r="AG19" s="4">
        <f t="shared" si="1"/>
        <v>0</v>
      </c>
    </row>
    <row r="20" spans="1:33" ht="85.5" customHeight="1">
      <c r="A20" s="2"/>
      <c r="B20" s="3" t="s">
        <v>123</v>
      </c>
      <c r="C20" s="2">
        <f t="shared" ref="C20:AG20" si="2">C30+C31+C36+C37</f>
        <v>0</v>
      </c>
      <c r="D20" s="2">
        <f t="shared" si="2"/>
        <v>0</v>
      </c>
      <c r="E20" s="4">
        <f t="shared" si="2"/>
        <v>0</v>
      </c>
      <c r="F20" s="4">
        <f t="shared" si="2"/>
        <v>0</v>
      </c>
      <c r="G20" s="4">
        <f t="shared" si="2"/>
        <v>0</v>
      </c>
      <c r="H20" s="4">
        <f t="shared" si="2"/>
        <v>0</v>
      </c>
      <c r="I20" s="4">
        <f t="shared" si="2"/>
        <v>0</v>
      </c>
      <c r="J20" s="4">
        <f t="shared" si="2"/>
        <v>0</v>
      </c>
      <c r="K20" s="4">
        <f t="shared" si="2"/>
        <v>1</v>
      </c>
      <c r="L20" s="4">
        <f t="shared" si="2"/>
        <v>0</v>
      </c>
      <c r="M20" s="4">
        <f t="shared" si="2"/>
        <v>0</v>
      </c>
      <c r="N20" s="4">
        <f t="shared" si="2"/>
        <v>0</v>
      </c>
      <c r="O20" s="4">
        <f t="shared" si="2"/>
        <v>0</v>
      </c>
      <c r="P20" s="4">
        <f t="shared" si="2"/>
        <v>1</v>
      </c>
      <c r="Q20" s="4">
        <f t="shared" si="2"/>
        <v>1</v>
      </c>
      <c r="R20" s="4">
        <f t="shared" si="2"/>
        <v>1</v>
      </c>
      <c r="S20" s="4">
        <f t="shared" si="2"/>
        <v>1</v>
      </c>
      <c r="T20" s="4">
        <f t="shared" si="2"/>
        <v>0</v>
      </c>
      <c r="U20" s="4">
        <f t="shared" si="2"/>
        <v>0</v>
      </c>
      <c r="V20" s="4">
        <f t="shared" si="2"/>
        <v>0</v>
      </c>
      <c r="W20" s="4">
        <f t="shared" si="2"/>
        <v>0</v>
      </c>
      <c r="X20" s="4">
        <f t="shared" si="2"/>
        <v>1</v>
      </c>
      <c r="Y20" s="4">
        <f t="shared" si="2"/>
        <v>0</v>
      </c>
      <c r="Z20" s="4">
        <f t="shared" si="2"/>
        <v>0</v>
      </c>
      <c r="AA20" s="4">
        <f t="shared" si="2"/>
        <v>0</v>
      </c>
      <c r="AB20" s="4">
        <f t="shared" si="2"/>
        <v>0</v>
      </c>
      <c r="AC20" s="4">
        <f t="shared" si="2"/>
        <v>0</v>
      </c>
      <c r="AD20" s="4">
        <f t="shared" si="2"/>
        <v>2</v>
      </c>
      <c r="AE20" s="4">
        <f t="shared" si="2"/>
        <v>0</v>
      </c>
      <c r="AF20" s="4">
        <f t="shared" si="2"/>
        <v>0</v>
      </c>
      <c r="AG20" s="4">
        <f t="shared" si="2"/>
        <v>0</v>
      </c>
    </row>
    <row r="21" spans="1:33" ht="85.5" customHeight="1">
      <c r="A21" s="2"/>
      <c r="B21" s="3" t="s">
        <v>124</v>
      </c>
      <c r="C21" s="2">
        <f t="shared" ref="C21:AG21" si="3">C39</f>
        <v>0</v>
      </c>
      <c r="D21" s="2">
        <f t="shared" si="3"/>
        <v>0</v>
      </c>
      <c r="E21" s="4">
        <f t="shared" si="3"/>
        <v>0</v>
      </c>
      <c r="F21" s="4">
        <f t="shared" si="3"/>
        <v>0</v>
      </c>
      <c r="G21" s="4">
        <f t="shared" si="3"/>
        <v>0</v>
      </c>
      <c r="H21" s="4">
        <f t="shared" si="3"/>
        <v>0</v>
      </c>
      <c r="I21" s="4">
        <f t="shared" si="3"/>
        <v>0</v>
      </c>
      <c r="J21" s="4">
        <f t="shared" si="3"/>
        <v>0</v>
      </c>
      <c r="K21" s="4">
        <f t="shared" si="3"/>
        <v>0</v>
      </c>
      <c r="L21" s="4">
        <f t="shared" si="3"/>
        <v>0</v>
      </c>
      <c r="M21" s="4">
        <f t="shared" si="3"/>
        <v>0</v>
      </c>
      <c r="N21" s="4">
        <f t="shared" si="3"/>
        <v>0</v>
      </c>
      <c r="O21" s="4">
        <f t="shared" si="3"/>
        <v>0</v>
      </c>
      <c r="P21" s="4">
        <f t="shared" si="3"/>
        <v>1</v>
      </c>
      <c r="Q21" s="4">
        <f t="shared" si="3"/>
        <v>0</v>
      </c>
      <c r="R21" s="4">
        <f t="shared" si="3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3"/>
        <v>0</v>
      </c>
      <c r="W21" s="4">
        <f t="shared" si="3"/>
        <v>0</v>
      </c>
      <c r="X21" s="4">
        <f t="shared" si="3"/>
        <v>0</v>
      </c>
      <c r="Y21" s="4">
        <f t="shared" si="3"/>
        <v>0</v>
      </c>
      <c r="Z21" s="4">
        <f t="shared" si="3"/>
        <v>0</v>
      </c>
      <c r="AA21" s="4">
        <f t="shared" si="3"/>
        <v>0</v>
      </c>
      <c r="AB21" s="4">
        <f t="shared" si="3"/>
        <v>0</v>
      </c>
      <c r="AC21" s="4">
        <f t="shared" si="3"/>
        <v>0</v>
      </c>
      <c r="AD21" s="4">
        <f t="shared" si="3"/>
        <v>0</v>
      </c>
      <c r="AE21" s="4">
        <f t="shared" si="3"/>
        <v>0</v>
      </c>
      <c r="AF21" s="4">
        <f t="shared" si="3"/>
        <v>0</v>
      </c>
      <c r="AG21" s="4">
        <f t="shared" si="3"/>
        <v>0</v>
      </c>
    </row>
    <row r="22" spans="1:33" ht="85.5" customHeight="1">
      <c r="C22" s="41">
        <f t="shared" ref="C22:AG22" si="4">SUM(C18:C21)</f>
        <v>0</v>
      </c>
      <c r="D22" s="41">
        <f t="shared" si="4"/>
        <v>0</v>
      </c>
      <c r="E22" s="41">
        <f t="shared" si="4"/>
        <v>0</v>
      </c>
      <c r="F22" s="41">
        <f t="shared" si="4"/>
        <v>0</v>
      </c>
      <c r="G22" s="41">
        <f t="shared" si="4"/>
        <v>0</v>
      </c>
      <c r="H22" s="41">
        <f t="shared" si="4"/>
        <v>0</v>
      </c>
      <c r="I22" s="41">
        <f t="shared" si="4"/>
        <v>0</v>
      </c>
      <c r="J22" s="41">
        <f t="shared" si="4"/>
        <v>0</v>
      </c>
      <c r="K22" s="41">
        <f t="shared" si="4"/>
        <v>1</v>
      </c>
      <c r="L22" s="41">
        <f t="shared" si="4"/>
        <v>0</v>
      </c>
      <c r="M22" s="41">
        <f t="shared" si="4"/>
        <v>0</v>
      </c>
      <c r="N22" s="41">
        <f t="shared" si="4"/>
        <v>0</v>
      </c>
      <c r="O22" s="41">
        <f t="shared" si="4"/>
        <v>0</v>
      </c>
      <c r="P22" s="41">
        <f t="shared" si="4"/>
        <v>2</v>
      </c>
      <c r="Q22" s="41">
        <f t="shared" si="4"/>
        <v>1</v>
      </c>
      <c r="R22" s="41">
        <f t="shared" si="4"/>
        <v>2</v>
      </c>
      <c r="S22" s="41">
        <f t="shared" si="4"/>
        <v>2</v>
      </c>
      <c r="T22" s="41">
        <f t="shared" si="4"/>
        <v>0</v>
      </c>
      <c r="U22" s="41">
        <f t="shared" si="4"/>
        <v>0</v>
      </c>
      <c r="V22" s="41">
        <f t="shared" si="4"/>
        <v>0</v>
      </c>
      <c r="W22" s="41">
        <f t="shared" si="4"/>
        <v>0</v>
      </c>
      <c r="X22" s="41">
        <f t="shared" si="4"/>
        <v>1</v>
      </c>
      <c r="Y22" s="41">
        <f t="shared" si="4"/>
        <v>1</v>
      </c>
      <c r="Z22" s="41">
        <f t="shared" si="4"/>
        <v>0</v>
      </c>
      <c r="AA22" s="41">
        <f t="shared" si="4"/>
        <v>0</v>
      </c>
      <c r="AB22" s="41">
        <f t="shared" si="4"/>
        <v>0</v>
      </c>
      <c r="AC22" s="41">
        <f t="shared" si="4"/>
        <v>0</v>
      </c>
      <c r="AD22" s="41">
        <f t="shared" si="4"/>
        <v>4</v>
      </c>
      <c r="AE22" s="41">
        <f t="shared" si="4"/>
        <v>0</v>
      </c>
      <c r="AF22" s="41">
        <f t="shared" si="4"/>
        <v>0</v>
      </c>
      <c r="AG22" s="41">
        <f t="shared" si="4"/>
        <v>0</v>
      </c>
    </row>
    <row r="23" spans="1:33" ht="85.5" customHeight="1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1:33" ht="71.099999999999994" customHeight="1"/>
    <row r="25" spans="1:33" ht="61.35" customHeight="1"/>
    <row r="27" spans="1:33" ht="42" customHeight="1">
      <c r="B27" s="42">
        <v>1</v>
      </c>
      <c r="C27" s="40">
        <f t="shared" ref="C27:G27" si="5">IF(C3=1,1,0)</f>
        <v>0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ref="C27:I35" si="6">IF(H3=1,1,0)</f>
        <v>0</v>
      </c>
      <c r="I27" s="40">
        <f t="shared" si="6"/>
        <v>0</v>
      </c>
      <c r="J27" s="40">
        <f t="shared" ref="J27" si="7">IF(J3=1,1,0)</f>
        <v>0</v>
      </c>
      <c r="K27" s="40">
        <f t="shared" ref="K27:Y27" si="8">IF(K3=1,1,0)</f>
        <v>0</v>
      </c>
      <c r="L27" s="40">
        <f t="shared" si="8"/>
        <v>0</v>
      </c>
      <c r="M27" s="40">
        <f t="shared" si="8"/>
        <v>0</v>
      </c>
      <c r="N27" s="40">
        <f t="shared" si="8"/>
        <v>0</v>
      </c>
      <c r="O27" s="40">
        <f t="shared" si="8"/>
        <v>0</v>
      </c>
      <c r="P27" s="40">
        <f t="shared" si="8"/>
        <v>0</v>
      </c>
      <c r="Q27" s="40">
        <f t="shared" si="8"/>
        <v>0</v>
      </c>
      <c r="R27" s="40">
        <f t="shared" si="8"/>
        <v>0</v>
      </c>
      <c r="S27" s="40">
        <f t="shared" si="8"/>
        <v>1</v>
      </c>
      <c r="T27" s="40">
        <f t="shared" si="8"/>
        <v>0</v>
      </c>
      <c r="U27" s="40">
        <f t="shared" si="8"/>
        <v>0</v>
      </c>
      <c r="V27" s="40">
        <f t="shared" si="8"/>
        <v>0</v>
      </c>
      <c r="W27" s="40">
        <f t="shared" si="8"/>
        <v>0</v>
      </c>
      <c r="X27" s="40">
        <f t="shared" si="8"/>
        <v>0</v>
      </c>
      <c r="Y27" s="40">
        <f t="shared" si="8"/>
        <v>0</v>
      </c>
      <c r="Z27" s="40">
        <f t="shared" ref="Z27:AG27" si="9">IF(Z3=1,1,0)</f>
        <v>0</v>
      </c>
      <c r="AA27" s="40">
        <f t="shared" si="9"/>
        <v>0</v>
      </c>
      <c r="AB27" s="40">
        <f t="shared" si="9"/>
        <v>0</v>
      </c>
      <c r="AC27" s="40">
        <f t="shared" si="9"/>
        <v>0</v>
      </c>
      <c r="AD27" s="40">
        <f t="shared" si="9"/>
        <v>0</v>
      </c>
      <c r="AE27" s="40">
        <f t="shared" si="9"/>
        <v>0</v>
      </c>
      <c r="AF27" s="40">
        <f t="shared" si="9"/>
        <v>0</v>
      </c>
      <c r="AG27" s="40">
        <f t="shared" si="9"/>
        <v>0</v>
      </c>
    </row>
    <row r="28" spans="1:33" ht="42" customHeight="1">
      <c r="B28" s="42">
        <v>2</v>
      </c>
      <c r="C28" s="40">
        <f t="shared" ref="C28:E28" si="10">IF(C4=1,1,0)</f>
        <v>0</v>
      </c>
      <c r="D28" s="40">
        <f t="shared" si="10"/>
        <v>0</v>
      </c>
      <c r="E28" s="40">
        <f t="shared" si="10"/>
        <v>0</v>
      </c>
      <c r="F28" s="40">
        <f t="shared" ref="F28:I28" si="11">IF(F4=1,1,0)</f>
        <v>0</v>
      </c>
      <c r="G28" s="40">
        <f t="shared" si="11"/>
        <v>0</v>
      </c>
      <c r="H28" s="40">
        <f t="shared" si="11"/>
        <v>0</v>
      </c>
      <c r="I28" s="40">
        <f t="shared" si="11"/>
        <v>0</v>
      </c>
      <c r="J28" s="40">
        <f t="shared" ref="J28" si="12">IF(J4=1,1,0)</f>
        <v>0</v>
      </c>
      <c r="K28" s="40">
        <f t="shared" ref="K28:Y28" si="13">IF(K4=1,1,0)</f>
        <v>0</v>
      </c>
      <c r="L28" s="40">
        <f t="shared" si="13"/>
        <v>0</v>
      </c>
      <c r="M28" s="40">
        <f t="shared" si="13"/>
        <v>0</v>
      </c>
      <c r="N28" s="40">
        <f t="shared" si="13"/>
        <v>0</v>
      </c>
      <c r="O28" s="40">
        <f t="shared" si="13"/>
        <v>0</v>
      </c>
      <c r="P28" s="40">
        <f t="shared" si="13"/>
        <v>0</v>
      </c>
      <c r="Q28" s="40">
        <f t="shared" si="13"/>
        <v>0</v>
      </c>
      <c r="R28" s="40">
        <f t="shared" si="13"/>
        <v>0</v>
      </c>
      <c r="S28" s="40">
        <f t="shared" si="13"/>
        <v>0</v>
      </c>
      <c r="T28" s="40">
        <f t="shared" si="13"/>
        <v>0</v>
      </c>
      <c r="U28" s="40">
        <f t="shared" si="13"/>
        <v>0</v>
      </c>
      <c r="V28" s="40">
        <f t="shared" si="13"/>
        <v>0</v>
      </c>
      <c r="W28" s="40">
        <f t="shared" si="13"/>
        <v>0</v>
      </c>
      <c r="X28" s="40">
        <f t="shared" si="13"/>
        <v>0</v>
      </c>
      <c r="Y28" s="40">
        <f t="shared" si="13"/>
        <v>0</v>
      </c>
      <c r="Z28" s="40">
        <f t="shared" ref="Z28:AG28" si="14">IF(Z4=1,1,0)</f>
        <v>0</v>
      </c>
      <c r="AA28" s="40">
        <f t="shared" si="14"/>
        <v>0</v>
      </c>
      <c r="AB28" s="40">
        <f t="shared" si="14"/>
        <v>0</v>
      </c>
      <c r="AC28" s="40">
        <f t="shared" si="14"/>
        <v>0</v>
      </c>
      <c r="AD28" s="40">
        <f t="shared" si="14"/>
        <v>0</v>
      </c>
      <c r="AE28" s="40">
        <f t="shared" si="14"/>
        <v>0</v>
      </c>
      <c r="AF28" s="40">
        <f t="shared" si="14"/>
        <v>0</v>
      </c>
      <c r="AG28" s="40">
        <f t="shared" si="14"/>
        <v>0</v>
      </c>
    </row>
    <row r="29" spans="1:33" ht="42" customHeight="1">
      <c r="B29" s="43">
        <v>3</v>
      </c>
      <c r="C29" s="40">
        <f t="shared" ref="C29:E29" si="15">IF(C5=1,1,0)</f>
        <v>0</v>
      </c>
      <c r="D29" s="40">
        <f t="shared" si="15"/>
        <v>0</v>
      </c>
      <c r="E29" s="40">
        <f t="shared" si="15"/>
        <v>0</v>
      </c>
      <c r="F29" s="40">
        <f t="shared" ref="F29:I29" si="16">IF(F5=1,1,0)</f>
        <v>0</v>
      </c>
      <c r="G29" s="40">
        <f t="shared" si="16"/>
        <v>0</v>
      </c>
      <c r="H29" s="40">
        <f t="shared" si="16"/>
        <v>0</v>
      </c>
      <c r="I29" s="40">
        <f t="shared" si="16"/>
        <v>0</v>
      </c>
      <c r="J29" s="40">
        <f t="shared" ref="J29" si="17">IF(J5=1,1,0)</f>
        <v>0</v>
      </c>
      <c r="K29" s="40">
        <f t="shared" ref="K29:Y29" si="18">IF(K5=1,1,0)</f>
        <v>0</v>
      </c>
      <c r="L29" s="40">
        <f t="shared" si="18"/>
        <v>0</v>
      </c>
      <c r="M29" s="40">
        <f t="shared" si="18"/>
        <v>0</v>
      </c>
      <c r="N29" s="40">
        <f t="shared" si="18"/>
        <v>0</v>
      </c>
      <c r="O29" s="40">
        <f t="shared" si="18"/>
        <v>0</v>
      </c>
      <c r="P29" s="40">
        <f t="shared" si="18"/>
        <v>0</v>
      </c>
      <c r="Q29" s="40">
        <f t="shared" si="18"/>
        <v>0</v>
      </c>
      <c r="R29" s="40">
        <f t="shared" si="18"/>
        <v>0</v>
      </c>
      <c r="S29" s="40">
        <f t="shared" si="18"/>
        <v>0</v>
      </c>
      <c r="T29" s="40">
        <f t="shared" si="18"/>
        <v>0</v>
      </c>
      <c r="U29" s="40">
        <f t="shared" si="18"/>
        <v>0</v>
      </c>
      <c r="V29" s="40">
        <f t="shared" si="18"/>
        <v>0</v>
      </c>
      <c r="W29" s="40">
        <f t="shared" si="18"/>
        <v>0</v>
      </c>
      <c r="X29" s="40">
        <f t="shared" si="18"/>
        <v>0</v>
      </c>
      <c r="Y29" s="40">
        <f t="shared" si="18"/>
        <v>1</v>
      </c>
      <c r="Z29" s="40">
        <f t="shared" ref="Z29:AG29" si="19">IF(Z5=1,1,0)</f>
        <v>0</v>
      </c>
      <c r="AA29" s="40">
        <f t="shared" si="19"/>
        <v>0</v>
      </c>
      <c r="AB29" s="40">
        <f t="shared" si="19"/>
        <v>0</v>
      </c>
      <c r="AC29" s="40">
        <f t="shared" si="19"/>
        <v>0</v>
      </c>
      <c r="AD29" s="40">
        <f t="shared" si="19"/>
        <v>0</v>
      </c>
      <c r="AE29" s="40">
        <f t="shared" si="19"/>
        <v>0</v>
      </c>
      <c r="AF29" s="40">
        <f t="shared" si="19"/>
        <v>0</v>
      </c>
      <c r="AG29" s="40">
        <f t="shared" si="19"/>
        <v>0</v>
      </c>
    </row>
    <row r="30" spans="1:33" ht="42" customHeight="1">
      <c r="B30" s="44">
        <v>4</v>
      </c>
      <c r="C30" s="40">
        <f t="shared" ref="C30:E30" si="20">IF(C6=1,1,0)</f>
        <v>0</v>
      </c>
      <c r="D30" s="40">
        <f t="shared" si="20"/>
        <v>0</v>
      </c>
      <c r="E30" s="40">
        <f t="shared" si="20"/>
        <v>0</v>
      </c>
      <c r="F30" s="40">
        <f t="shared" ref="F30:J30" si="21">IF(F6=1,1,0)</f>
        <v>0</v>
      </c>
      <c r="G30" s="40">
        <f t="shared" si="21"/>
        <v>0</v>
      </c>
      <c r="H30" s="40">
        <f t="shared" si="21"/>
        <v>0</v>
      </c>
      <c r="I30" s="40">
        <f t="shared" si="21"/>
        <v>0</v>
      </c>
      <c r="J30" s="40">
        <f t="shared" si="21"/>
        <v>0</v>
      </c>
      <c r="K30" s="40">
        <f t="shared" ref="K30:Y30" si="22">IF(K6=1,1,0)</f>
        <v>1</v>
      </c>
      <c r="L30" s="40">
        <f t="shared" si="22"/>
        <v>0</v>
      </c>
      <c r="M30" s="40">
        <f t="shared" si="22"/>
        <v>0</v>
      </c>
      <c r="N30" s="40">
        <f t="shared" si="22"/>
        <v>0</v>
      </c>
      <c r="O30" s="40">
        <f t="shared" si="22"/>
        <v>0</v>
      </c>
      <c r="P30" s="40">
        <f t="shared" si="22"/>
        <v>0</v>
      </c>
      <c r="Q30" s="40">
        <f t="shared" si="22"/>
        <v>0</v>
      </c>
      <c r="R30" s="40">
        <f t="shared" si="22"/>
        <v>1</v>
      </c>
      <c r="S30" s="40">
        <f t="shared" si="22"/>
        <v>1</v>
      </c>
      <c r="T30" s="40">
        <f t="shared" si="22"/>
        <v>0</v>
      </c>
      <c r="U30" s="40">
        <f t="shared" si="22"/>
        <v>0</v>
      </c>
      <c r="V30" s="40">
        <f t="shared" si="22"/>
        <v>0</v>
      </c>
      <c r="W30" s="40">
        <f t="shared" si="22"/>
        <v>0</v>
      </c>
      <c r="X30" s="40">
        <f t="shared" si="22"/>
        <v>1</v>
      </c>
      <c r="Y30" s="40">
        <f t="shared" si="22"/>
        <v>0</v>
      </c>
      <c r="Z30" s="40">
        <f t="shared" ref="Z30:AG30" si="23">IF(Z6=1,1,0)</f>
        <v>0</v>
      </c>
      <c r="AA30" s="40">
        <f t="shared" si="23"/>
        <v>0</v>
      </c>
      <c r="AB30" s="40">
        <f t="shared" si="23"/>
        <v>0</v>
      </c>
      <c r="AC30" s="40">
        <f t="shared" si="23"/>
        <v>0</v>
      </c>
      <c r="AD30" s="40">
        <f t="shared" si="23"/>
        <v>0</v>
      </c>
      <c r="AE30" s="40">
        <f t="shared" si="23"/>
        <v>0</v>
      </c>
      <c r="AF30" s="40">
        <f t="shared" si="23"/>
        <v>0</v>
      </c>
      <c r="AG30" s="40">
        <f t="shared" si="23"/>
        <v>0</v>
      </c>
    </row>
    <row r="31" spans="1:33" ht="42" customHeight="1">
      <c r="B31" s="44">
        <v>5</v>
      </c>
      <c r="C31" s="40">
        <f t="shared" ref="C31:E31" si="24">IF(C7=1,1,0)</f>
        <v>0</v>
      </c>
      <c r="D31" s="40">
        <f t="shared" si="24"/>
        <v>0</v>
      </c>
      <c r="E31" s="40">
        <f t="shared" si="24"/>
        <v>0</v>
      </c>
      <c r="F31" s="40">
        <f t="shared" ref="F31:J31" si="25">IF(F7=1,1,0)</f>
        <v>0</v>
      </c>
      <c r="G31" s="40">
        <f t="shared" si="25"/>
        <v>0</v>
      </c>
      <c r="H31" s="40">
        <f t="shared" si="25"/>
        <v>0</v>
      </c>
      <c r="I31" s="40">
        <f t="shared" si="25"/>
        <v>0</v>
      </c>
      <c r="J31" s="40">
        <f t="shared" si="25"/>
        <v>0</v>
      </c>
      <c r="K31" s="40">
        <f t="shared" ref="K31:Y31" si="26">IF(K7=1,1,0)</f>
        <v>0</v>
      </c>
      <c r="L31" s="40">
        <f t="shared" si="26"/>
        <v>0</v>
      </c>
      <c r="M31" s="40">
        <f t="shared" si="26"/>
        <v>0</v>
      </c>
      <c r="N31" s="40">
        <f t="shared" si="26"/>
        <v>0</v>
      </c>
      <c r="O31" s="40">
        <f t="shared" si="26"/>
        <v>0</v>
      </c>
      <c r="P31" s="40">
        <f t="shared" si="26"/>
        <v>0</v>
      </c>
      <c r="Q31" s="40">
        <f t="shared" si="26"/>
        <v>0</v>
      </c>
      <c r="R31" s="40">
        <f t="shared" si="26"/>
        <v>0</v>
      </c>
      <c r="S31" s="40">
        <f t="shared" si="26"/>
        <v>0</v>
      </c>
      <c r="T31" s="40">
        <f t="shared" si="26"/>
        <v>0</v>
      </c>
      <c r="U31" s="40">
        <f t="shared" si="26"/>
        <v>0</v>
      </c>
      <c r="V31" s="40">
        <f t="shared" si="26"/>
        <v>0</v>
      </c>
      <c r="W31" s="40">
        <f t="shared" si="26"/>
        <v>0</v>
      </c>
      <c r="X31" s="40">
        <f t="shared" si="26"/>
        <v>0</v>
      </c>
      <c r="Y31" s="40">
        <f t="shared" si="26"/>
        <v>0</v>
      </c>
      <c r="Z31" s="40">
        <f t="shared" ref="Z31:AG31" si="27">IF(Z7=1,1,0)</f>
        <v>0</v>
      </c>
      <c r="AA31" s="40">
        <f t="shared" si="27"/>
        <v>0</v>
      </c>
      <c r="AB31" s="40">
        <f t="shared" si="27"/>
        <v>0</v>
      </c>
      <c r="AC31" s="40">
        <f t="shared" si="27"/>
        <v>0</v>
      </c>
      <c r="AD31" s="40">
        <f t="shared" si="27"/>
        <v>1</v>
      </c>
      <c r="AE31" s="40">
        <f t="shared" si="27"/>
        <v>0</v>
      </c>
      <c r="AF31" s="40">
        <f t="shared" si="27"/>
        <v>0</v>
      </c>
      <c r="AG31" s="40">
        <f t="shared" si="27"/>
        <v>0</v>
      </c>
    </row>
    <row r="32" spans="1:33" ht="42" customHeight="1">
      <c r="B32" s="42">
        <v>6</v>
      </c>
      <c r="C32" s="40">
        <f t="shared" si="6"/>
        <v>0</v>
      </c>
      <c r="D32" s="40">
        <f t="shared" si="6"/>
        <v>0</v>
      </c>
      <c r="E32" s="40">
        <f t="shared" si="6"/>
        <v>0</v>
      </c>
      <c r="F32" s="40">
        <f t="shared" ref="F32:J32" si="28">IF(F8=1,1,0)</f>
        <v>0</v>
      </c>
      <c r="G32" s="40">
        <f t="shared" si="28"/>
        <v>0</v>
      </c>
      <c r="H32" s="40">
        <f t="shared" si="28"/>
        <v>0</v>
      </c>
      <c r="I32" s="40">
        <f t="shared" si="28"/>
        <v>0</v>
      </c>
      <c r="J32" s="40">
        <f t="shared" si="28"/>
        <v>0</v>
      </c>
      <c r="K32" s="40">
        <f t="shared" ref="K32:Y32" si="29">IF(K8=1,1,0)</f>
        <v>0</v>
      </c>
      <c r="L32" s="40">
        <f t="shared" si="29"/>
        <v>0</v>
      </c>
      <c r="M32" s="40">
        <f t="shared" si="29"/>
        <v>0</v>
      </c>
      <c r="N32" s="40">
        <f t="shared" si="29"/>
        <v>0</v>
      </c>
      <c r="O32" s="40">
        <f t="shared" si="29"/>
        <v>0</v>
      </c>
      <c r="P32" s="40">
        <f t="shared" si="29"/>
        <v>0</v>
      </c>
      <c r="Q32" s="40">
        <f t="shared" si="29"/>
        <v>0</v>
      </c>
      <c r="R32" s="40">
        <f t="shared" si="29"/>
        <v>1</v>
      </c>
      <c r="S32" s="40">
        <f t="shared" si="29"/>
        <v>0</v>
      </c>
      <c r="T32" s="40">
        <f t="shared" si="29"/>
        <v>0</v>
      </c>
      <c r="U32" s="40">
        <f t="shared" si="29"/>
        <v>0</v>
      </c>
      <c r="V32" s="40">
        <f t="shared" si="29"/>
        <v>0</v>
      </c>
      <c r="W32" s="40">
        <f t="shared" si="29"/>
        <v>0</v>
      </c>
      <c r="X32" s="40">
        <f t="shared" si="29"/>
        <v>0</v>
      </c>
      <c r="Y32" s="40">
        <f t="shared" si="29"/>
        <v>0</v>
      </c>
      <c r="Z32" s="40">
        <f t="shared" ref="Z32:AG32" si="30">IF(Z8=1,1,0)</f>
        <v>0</v>
      </c>
      <c r="AA32" s="40">
        <f t="shared" si="30"/>
        <v>0</v>
      </c>
      <c r="AB32" s="40">
        <f t="shared" si="30"/>
        <v>0</v>
      </c>
      <c r="AC32" s="40">
        <f t="shared" si="30"/>
        <v>0</v>
      </c>
      <c r="AD32" s="40">
        <f t="shared" si="30"/>
        <v>1</v>
      </c>
      <c r="AE32" s="40">
        <f t="shared" si="30"/>
        <v>0</v>
      </c>
      <c r="AF32" s="40">
        <f t="shared" si="30"/>
        <v>0</v>
      </c>
      <c r="AG32" s="40">
        <f t="shared" si="30"/>
        <v>0</v>
      </c>
    </row>
    <row r="33" spans="2:33" ht="42" customHeight="1">
      <c r="B33" s="42">
        <v>7</v>
      </c>
      <c r="C33" s="40">
        <f t="shared" si="6"/>
        <v>0</v>
      </c>
      <c r="D33" s="40">
        <f t="shared" si="6"/>
        <v>0</v>
      </c>
      <c r="E33" s="40">
        <f t="shared" si="6"/>
        <v>0</v>
      </c>
      <c r="F33" s="40">
        <f t="shared" ref="F33:J33" si="31">IF(F9=1,1,0)</f>
        <v>0</v>
      </c>
      <c r="G33" s="40">
        <f t="shared" si="31"/>
        <v>0</v>
      </c>
      <c r="H33" s="40">
        <f t="shared" si="31"/>
        <v>0</v>
      </c>
      <c r="I33" s="40">
        <f t="shared" si="31"/>
        <v>0</v>
      </c>
      <c r="J33" s="40">
        <f t="shared" si="31"/>
        <v>0</v>
      </c>
      <c r="K33" s="40">
        <f t="shared" ref="K33:Y33" si="32">IF(K9=1,1,0)</f>
        <v>0</v>
      </c>
      <c r="L33" s="40">
        <f t="shared" si="32"/>
        <v>0</v>
      </c>
      <c r="M33" s="40">
        <f t="shared" si="32"/>
        <v>0</v>
      </c>
      <c r="N33" s="40">
        <f t="shared" si="32"/>
        <v>0</v>
      </c>
      <c r="O33" s="40">
        <f t="shared" si="32"/>
        <v>0</v>
      </c>
      <c r="P33" s="40">
        <f t="shared" si="32"/>
        <v>0</v>
      </c>
      <c r="Q33" s="40">
        <f t="shared" si="32"/>
        <v>0</v>
      </c>
      <c r="R33" s="40">
        <f t="shared" si="32"/>
        <v>0</v>
      </c>
      <c r="S33" s="40">
        <f t="shared" si="32"/>
        <v>0</v>
      </c>
      <c r="T33" s="40">
        <f t="shared" si="32"/>
        <v>0</v>
      </c>
      <c r="U33" s="40">
        <f t="shared" si="32"/>
        <v>0</v>
      </c>
      <c r="V33" s="40">
        <f t="shared" si="32"/>
        <v>0</v>
      </c>
      <c r="W33" s="40">
        <f t="shared" si="32"/>
        <v>0</v>
      </c>
      <c r="X33" s="40">
        <f t="shared" si="32"/>
        <v>0</v>
      </c>
      <c r="Y33" s="40">
        <f t="shared" si="32"/>
        <v>0</v>
      </c>
      <c r="Z33" s="40">
        <f t="shared" ref="Z33:AG33" si="33">IF(Z9=1,1,0)</f>
        <v>0</v>
      </c>
      <c r="AA33" s="40">
        <f t="shared" si="33"/>
        <v>0</v>
      </c>
      <c r="AB33" s="40">
        <f t="shared" si="33"/>
        <v>0</v>
      </c>
      <c r="AC33" s="40">
        <f t="shared" si="33"/>
        <v>0</v>
      </c>
      <c r="AD33" s="40">
        <f t="shared" si="33"/>
        <v>1</v>
      </c>
      <c r="AE33" s="40">
        <f t="shared" si="33"/>
        <v>0</v>
      </c>
      <c r="AF33" s="40">
        <f t="shared" si="33"/>
        <v>0</v>
      </c>
      <c r="AG33" s="40">
        <f t="shared" si="33"/>
        <v>0</v>
      </c>
    </row>
    <row r="34" spans="2:33" ht="42" customHeight="1">
      <c r="B34" s="42">
        <v>8</v>
      </c>
      <c r="C34" s="40">
        <f t="shared" si="6"/>
        <v>0</v>
      </c>
      <c r="D34" s="40">
        <f t="shared" si="6"/>
        <v>0</v>
      </c>
      <c r="E34" s="40">
        <f t="shared" si="6"/>
        <v>0</v>
      </c>
      <c r="F34" s="40">
        <f t="shared" ref="F34:J34" si="34">IF(F10=1,1,0)</f>
        <v>0</v>
      </c>
      <c r="G34" s="40">
        <f t="shared" si="34"/>
        <v>0</v>
      </c>
      <c r="H34" s="40">
        <f t="shared" si="34"/>
        <v>0</v>
      </c>
      <c r="I34" s="40">
        <f t="shared" si="34"/>
        <v>0</v>
      </c>
      <c r="J34" s="40">
        <f t="shared" si="34"/>
        <v>0</v>
      </c>
      <c r="K34" s="40">
        <f t="shared" ref="K34:Y34" si="35">IF(K10=1,1,0)</f>
        <v>0</v>
      </c>
      <c r="L34" s="40">
        <f t="shared" si="35"/>
        <v>0</v>
      </c>
      <c r="M34" s="40">
        <f t="shared" si="35"/>
        <v>0</v>
      </c>
      <c r="N34" s="40">
        <f t="shared" si="35"/>
        <v>0</v>
      </c>
      <c r="O34" s="40">
        <f t="shared" si="35"/>
        <v>0</v>
      </c>
      <c r="P34" s="40">
        <f t="shared" si="35"/>
        <v>0</v>
      </c>
      <c r="Q34" s="40">
        <f t="shared" si="35"/>
        <v>0</v>
      </c>
      <c r="R34" s="40">
        <f t="shared" si="35"/>
        <v>0</v>
      </c>
      <c r="S34" s="40">
        <f t="shared" si="35"/>
        <v>0</v>
      </c>
      <c r="T34" s="40">
        <f t="shared" si="35"/>
        <v>0</v>
      </c>
      <c r="U34" s="40">
        <f t="shared" si="35"/>
        <v>0</v>
      </c>
      <c r="V34" s="40">
        <f t="shared" si="35"/>
        <v>0</v>
      </c>
      <c r="W34" s="40">
        <f t="shared" si="35"/>
        <v>0</v>
      </c>
      <c r="X34" s="40">
        <f t="shared" si="35"/>
        <v>0</v>
      </c>
      <c r="Y34" s="40">
        <f t="shared" si="35"/>
        <v>0</v>
      </c>
      <c r="Z34" s="40">
        <f t="shared" ref="Z34:AG34" si="36">IF(Z10=1,1,0)</f>
        <v>0</v>
      </c>
      <c r="AA34" s="40">
        <f t="shared" si="36"/>
        <v>0</v>
      </c>
      <c r="AB34" s="40">
        <f t="shared" si="36"/>
        <v>0</v>
      </c>
      <c r="AC34" s="40">
        <f t="shared" si="36"/>
        <v>0</v>
      </c>
      <c r="AD34" s="40">
        <f t="shared" si="36"/>
        <v>0</v>
      </c>
      <c r="AE34" s="40">
        <f t="shared" si="36"/>
        <v>0</v>
      </c>
      <c r="AF34" s="40">
        <f t="shared" si="36"/>
        <v>0</v>
      </c>
      <c r="AG34" s="40">
        <f t="shared" si="36"/>
        <v>0</v>
      </c>
    </row>
    <row r="35" spans="2:33" ht="42" customHeight="1">
      <c r="B35" s="43">
        <v>9</v>
      </c>
      <c r="C35" s="40">
        <f t="shared" si="6"/>
        <v>0</v>
      </c>
      <c r="D35" s="40">
        <f t="shared" si="6"/>
        <v>0</v>
      </c>
      <c r="E35" s="40">
        <f t="shared" si="6"/>
        <v>0</v>
      </c>
      <c r="F35" s="40">
        <f t="shared" ref="F35:J35" si="37">IF(F11=1,1,0)</f>
        <v>0</v>
      </c>
      <c r="G35" s="40">
        <f t="shared" si="37"/>
        <v>0</v>
      </c>
      <c r="H35" s="40">
        <f t="shared" si="37"/>
        <v>0</v>
      </c>
      <c r="I35" s="40">
        <f t="shared" si="37"/>
        <v>0</v>
      </c>
      <c r="J35" s="40">
        <f t="shared" si="37"/>
        <v>0</v>
      </c>
      <c r="K35" s="40">
        <f t="shared" ref="K35:Y35" si="38">IF(K11=1,1,0)</f>
        <v>0</v>
      </c>
      <c r="L35" s="40">
        <f t="shared" si="38"/>
        <v>0</v>
      </c>
      <c r="M35" s="40">
        <f t="shared" si="38"/>
        <v>0</v>
      </c>
      <c r="N35" s="40">
        <f t="shared" si="38"/>
        <v>0</v>
      </c>
      <c r="O35" s="40">
        <f t="shared" si="38"/>
        <v>0</v>
      </c>
      <c r="P35" s="40">
        <f t="shared" si="38"/>
        <v>0</v>
      </c>
      <c r="Q35" s="40">
        <f t="shared" si="38"/>
        <v>0</v>
      </c>
      <c r="R35" s="40">
        <f t="shared" si="38"/>
        <v>0</v>
      </c>
      <c r="S35" s="40">
        <f t="shared" si="38"/>
        <v>0</v>
      </c>
      <c r="T35" s="40">
        <f t="shared" si="38"/>
        <v>0</v>
      </c>
      <c r="U35" s="40">
        <f t="shared" si="38"/>
        <v>0</v>
      </c>
      <c r="V35" s="40">
        <f t="shared" si="38"/>
        <v>0</v>
      </c>
      <c r="W35" s="40">
        <f t="shared" si="38"/>
        <v>0</v>
      </c>
      <c r="X35" s="40">
        <f t="shared" si="38"/>
        <v>0</v>
      </c>
      <c r="Y35" s="40">
        <f t="shared" si="38"/>
        <v>0</v>
      </c>
      <c r="Z35" s="40">
        <f t="shared" ref="Z35:AG35" si="39">IF(Z11=1,1,0)</f>
        <v>0</v>
      </c>
      <c r="AA35" s="40">
        <f t="shared" si="39"/>
        <v>0</v>
      </c>
      <c r="AB35" s="40">
        <f t="shared" si="39"/>
        <v>0</v>
      </c>
      <c r="AC35" s="40">
        <f t="shared" si="39"/>
        <v>0</v>
      </c>
      <c r="AD35" s="40">
        <f t="shared" si="39"/>
        <v>0</v>
      </c>
      <c r="AE35" s="40">
        <f t="shared" si="39"/>
        <v>0</v>
      </c>
      <c r="AF35" s="40">
        <f t="shared" si="39"/>
        <v>0</v>
      </c>
      <c r="AG35" s="40">
        <f t="shared" si="39"/>
        <v>0</v>
      </c>
    </row>
    <row r="36" spans="2:33" ht="42" customHeight="1">
      <c r="B36" s="44">
        <v>10</v>
      </c>
      <c r="C36" s="40">
        <f t="shared" ref="C36:E39" si="40">IF(C12=1,1,0)</f>
        <v>0</v>
      </c>
      <c r="D36" s="40">
        <f t="shared" si="40"/>
        <v>0</v>
      </c>
      <c r="E36" s="40">
        <f t="shared" si="40"/>
        <v>0</v>
      </c>
      <c r="F36" s="40">
        <f t="shared" ref="F36:J36" si="41">IF(F12=1,1,0)</f>
        <v>0</v>
      </c>
      <c r="G36" s="40">
        <f t="shared" si="41"/>
        <v>0</v>
      </c>
      <c r="H36" s="40">
        <f t="shared" si="41"/>
        <v>0</v>
      </c>
      <c r="I36" s="40">
        <f t="shared" si="41"/>
        <v>0</v>
      </c>
      <c r="J36" s="40">
        <f t="shared" si="41"/>
        <v>0</v>
      </c>
      <c r="K36" s="40">
        <f t="shared" ref="K36:Y36" si="42">IF(K12=1,1,0)</f>
        <v>0</v>
      </c>
      <c r="L36" s="40">
        <f t="shared" si="42"/>
        <v>0</v>
      </c>
      <c r="M36" s="40">
        <f t="shared" si="42"/>
        <v>0</v>
      </c>
      <c r="N36" s="40">
        <f t="shared" si="42"/>
        <v>0</v>
      </c>
      <c r="O36" s="40">
        <f t="shared" si="42"/>
        <v>0</v>
      </c>
      <c r="P36" s="40">
        <f t="shared" si="42"/>
        <v>0</v>
      </c>
      <c r="Q36" s="40">
        <f t="shared" si="42"/>
        <v>0</v>
      </c>
      <c r="R36" s="40">
        <f t="shared" si="42"/>
        <v>0</v>
      </c>
      <c r="S36" s="40">
        <f t="shared" si="42"/>
        <v>0</v>
      </c>
      <c r="T36" s="40">
        <f t="shared" si="42"/>
        <v>0</v>
      </c>
      <c r="U36" s="40">
        <f t="shared" si="42"/>
        <v>0</v>
      </c>
      <c r="V36" s="40">
        <f t="shared" si="42"/>
        <v>0</v>
      </c>
      <c r="W36" s="40">
        <f t="shared" si="42"/>
        <v>0</v>
      </c>
      <c r="X36" s="40">
        <f t="shared" si="42"/>
        <v>0</v>
      </c>
      <c r="Y36" s="40">
        <f t="shared" si="42"/>
        <v>0</v>
      </c>
      <c r="Z36" s="40">
        <f t="shared" ref="Z36:AG36" si="43">IF(Z12=1,1,0)</f>
        <v>0</v>
      </c>
      <c r="AA36" s="40">
        <f t="shared" si="43"/>
        <v>0</v>
      </c>
      <c r="AB36" s="40">
        <f t="shared" si="43"/>
        <v>0</v>
      </c>
      <c r="AC36" s="40">
        <f t="shared" si="43"/>
        <v>0</v>
      </c>
      <c r="AD36" s="40">
        <f t="shared" si="43"/>
        <v>1</v>
      </c>
      <c r="AE36" s="40">
        <f t="shared" si="43"/>
        <v>0</v>
      </c>
      <c r="AF36" s="40">
        <f t="shared" si="43"/>
        <v>0</v>
      </c>
      <c r="AG36" s="40">
        <f t="shared" si="43"/>
        <v>0</v>
      </c>
    </row>
    <row r="37" spans="2:33" ht="42" customHeight="1">
      <c r="B37" s="44">
        <v>11</v>
      </c>
      <c r="C37" s="40">
        <f t="shared" si="40"/>
        <v>0</v>
      </c>
      <c r="D37" s="40">
        <f t="shared" si="40"/>
        <v>0</v>
      </c>
      <c r="E37" s="40">
        <f t="shared" si="40"/>
        <v>0</v>
      </c>
      <c r="F37" s="40">
        <f t="shared" ref="F37:J37" si="44">IF(F13=1,1,0)</f>
        <v>0</v>
      </c>
      <c r="G37" s="40">
        <f t="shared" si="44"/>
        <v>0</v>
      </c>
      <c r="H37" s="40">
        <f t="shared" si="44"/>
        <v>0</v>
      </c>
      <c r="I37" s="40">
        <f t="shared" si="44"/>
        <v>0</v>
      </c>
      <c r="J37" s="40">
        <f t="shared" si="44"/>
        <v>0</v>
      </c>
      <c r="K37" s="40">
        <f t="shared" ref="K37:Y37" si="45">IF(K13=1,1,0)</f>
        <v>0</v>
      </c>
      <c r="L37" s="40">
        <f t="shared" si="45"/>
        <v>0</v>
      </c>
      <c r="M37" s="40">
        <f t="shared" si="45"/>
        <v>0</v>
      </c>
      <c r="N37" s="40">
        <f t="shared" si="45"/>
        <v>0</v>
      </c>
      <c r="O37" s="40">
        <f t="shared" si="45"/>
        <v>0</v>
      </c>
      <c r="P37" s="40">
        <f t="shared" si="45"/>
        <v>1</v>
      </c>
      <c r="Q37" s="40">
        <f t="shared" si="45"/>
        <v>1</v>
      </c>
      <c r="R37" s="40">
        <f t="shared" si="45"/>
        <v>0</v>
      </c>
      <c r="S37" s="40">
        <f t="shared" si="45"/>
        <v>0</v>
      </c>
      <c r="T37" s="40">
        <f t="shared" si="45"/>
        <v>0</v>
      </c>
      <c r="U37" s="40">
        <f t="shared" si="45"/>
        <v>0</v>
      </c>
      <c r="V37" s="40">
        <f t="shared" si="45"/>
        <v>0</v>
      </c>
      <c r="W37" s="40">
        <f t="shared" si="45"/>
        <v>0</v>
      </c>
      <c r="X37" s="40">
        <f t="shared" si="45"/>
        <v>0</v>
      </c>
      <c r="Y37" s="40">
        <f t="shared" si="45"/>
        <v>0</v>
      </c>
      <c r="Z37" s="40">
        <f t="shared" ref="Z37:AG37" si="46">IF(Z13=1,1,0)</f>
        <v>0</v>
      </c>
      <c r="AA37" s="40">
        <f t="shared" si="46"/>
        <v>0</v>
      </c>
      <c r="AB37" s="40">
        <f t="shared" si="46"/>
        <v>0</v>
      </c>
      <c r="AC37" s="40">
        <f t="shared" si="46"/>
        <v>0</v>
      </c>
      <c r="AD37" s="40">
        <f t="shared" si="46"/>
        <v>0</v>
      </c>
      <c r="AE37" s="40">
        <f t="shared" si="46"/>
        <v>0</v>
      </c>
      <c r="AF37" s="40">
        <f t="shared" si="46"/>
        <v>0</v>
      </c>
      <c r="AG37" s="40">
        <f t="shared" si="46"/>
        <v>0</v>
      </c>
    </row>
    <row r="38" spans="2:33" ht="42" customHeight="1">
      <c r="B38" s="42">
        <v>12</v>
      </c>
      <c r="C38" s="40">
        <f t="shared" si="40"/>
        <v>0</v>
      </c>
      <c r="D38" s="40">
        <f t="shared" si="40"/>
        <v>0</v>
      </c>
      <c r="E38" s="40">
        <f t="shared" si="40"/>
        <v>0</v>
      </c>
      <c r="F38" s="40">
        <f t="shared" ref="F38:J38" si="47">IF(F14=1,1,0)</f>
        <v>0</v>
      </c>
      <c r="G38" s="40">
        <f t="shared" si="47"/>
        <v>0</v>
      </c>
      <c r="H38" s="40">
        <f t="shared" si="47"/>
        <v>0</v>
      </c>
      <c r="I38" s="40">
        <f t="shared" si="47"/>
        <v>0</v>
      </c>
      <c r="J38" s="40">
        <f t="shared" si="47"/>
        <v>0</v>
      </c>
      <c r="K38" s="40">
        <f t="shared" ref="K38:Y38" si="48">IF(K14=1,1,0)</f>
        <v>0</v>
      </c>
      <c r="L38" s="40">
        <f t="shared" si="48"/>
        <v>0</v>
      </c>
      <c r="M38" s="40">
        <f t="shared" si="48"/>
        <v>0</v>
      </c>
      <c r="N38" s="40">
        <f t="shared" si="48"/>
        <v>0</v>
      </c>
      <c r="O38" s="40">
        <f t="shared" si="48"/>
        <v>0</v>
      </c>
      <c r="P38" s="40">
        <f t="shared" si="48"/>
        <v>0</v>
      </c>
      <c r="Q38" s="40">
        <f t="shared" si="48"/>
        <v>0</v>
      </c>
      <c r="R38" s="40">
        <f t="shared" si="48"/>
        <v>0</v>
      </c>
      <c r="S38" s="40">
        <f t="shared" si="48"/>
        <v>0</v>
      </c>
      <c r="T38" s="40">
        <f t="shared" si="48"/>
        <v>0</v>
      </c>
      <c r="U38" s="40">
        <f t="shared" si="48"/>
        <v>0</v>
      </c>
      <c r="V38" s="40">
        <f t="shared" si="48"/>
        <v>0</v>
      </c>
      <c r="W38" s="40">
        <f t="shared" si="48"/>
        <v>0</v>
      </c>
      <c r="X38" s="40">
        <f t="shared" si="48"/>
        <v>0</v>
      </c>
      <c r="Y38" s="40">
        <f t="shared" si="48"/>
        <v>0</v>
      </c>
      <c r="Z38" s="40">
        <f t="shared" ref="Z38:AG38" si="49">IF(Z14=1,1,0)</f>
        <v>0</v>
      </c>
      <c r="AA38" s="40">
        <f t="shared" si="49"/>
        <v>0</v>
      </c>
      <c r="AB38" s="40">
        <f t="shared" si="49"/>
        <v>0</v>
      </c>
      <c r="AC38" s="40">
        <f t="shared" si="49"/>
        <v>0</v>
      </c>
      <c r="AD38" s="40">
        <f t="shared" si="49"/>
        <v>0</v>
      </c>
      <c r="AE38" s="40">
        <f t="shared" si="49"/>
        <v>0</v>
      </c>
      <c r="AF38" s="40">
        <f t="shared" si="49"/>
        <v>0</v>
      </c>
      <c r="AG38" s="40">
        <f t="shared" si="49"/>
        <v>0</v>
      </c>
    </row>
    <row r="39" spans="2:33" ht="42" customHeight="1">
      <c r="B39" s="45" t="s">
        <v>111</v>
      </c>
      <c r="C39" s="40">
        <f t="shared" si="40"/>
        <v>0</v>
      </c>
      <c r="D39" s="40">
        <f t="shared" si="40"/>
        <v>0</v>
      </c>
      <c r="E39" s="40">
        <f t="shared" si="40"/>
        <v>0</v>
      </c>
      <c r="F39" s="40">
        <f t="shared" ref="F39:J39" si="50">IF(F15=1,1,0)</f>
        <v>0</v>
      </c>
      <c r="G39" s="40">
        <f t="shared" si="50"/>
        <v>0</v>
      </c>
      <c r="H39" s="40">
        <f t="shared" si="50"/>
        <v>0</v>
      </c>
      <c r="I39" s="40">
        <f t="shared" si="50"/>
        <v>0</v>
      </c>
      <c r="J39" s="40">
        <f t="shared" si="50"/>
        <v>0</v>
      </c>
      <c r="K39" s="40">
        <f t="shared" ref="K39:Y39" si="51">IF(K15=1,1,0)</f>
        <v>0</v>
      </c>
      <c r="L39" s="40">
        <f t="shared" si="51"/>
        <v>0</v>
      </c>
      <c r="M39" s="40">
        <f t="shared" si="51"/>
        <v>0</v>
      </c>
      <c r="N39" s="40">
        <f t="shared" si="51"/>
        <v>0</v>
      </c>
      <c r="O39" s="40">
        <f t="shared" si="51"/>
        <v>0</v>
      </c>
      <c r="P39" s="40">
        <f t="shared" si="51"/>
        <v>1</v>
      </c>
      <c r="Q39" s="40">
        <f t="shared" si="51"/>
        <v>0</v>
      </c>
      <c r="R39" s="40">
        <f t="shared" si="51"/>
        <v>0</v>
      </c>
      <c r="S39" s="40">
        <f t="shared" si="51"/>
        <v>0</v>
      </c>
      <c r="T39" s="40">
        <f t="shared" si="51"/>
        <v>0</v>
      </c>
      <c r="U39" s="40">
        <f t="shared" si="51"/>
        <v>0</v>
      </c>
      <c r="V39" s="40">
        <f t="shared" si="51"/>
        <v>0</v>
      </c>
      <c r="W39" s="40">
        <f t="shared" si="51"/>
        <v>0</v>
      </c>
      <c r="X39" s="40">
        <f t="shared" si="51"/>
        <v>0</v>
      </c>
      <c r="Y39" s="40">
        <f t="shared" si="51"/>
        <v>0</v>
      </c>
      <c r="Z39" s="40">
        <f t="shared" ref="Z39:AG39" si="52">IF(Z15=1,1,0)</f>
        <v>0</v>
      </c>
      <c r="AA39" s="40">
        <f t="shared" si="52"/>
        <v>0</v>
      </c>
      <c r="AB39" s="40">
        <f t="shared" si="52"/>
        <v>0</v>
      </c>
      <c r="AC39" s="40">
        <f t="shared" si="52"/>
        <v>0</v>
      </c>
      <c r="AD39" s="40">
        <f t="shared" si="52"/>
        <v>0</v>
      </c>
      <c r="AE39" s="40">
        <f t="shared" si="52"/>
        <v>0</v>
      </c>
      <c r="AF39" s="40">
        <f t="shared" si="52"/>
        <v>0</v>
      </c>
      <c r="AG39" s="40">
        <f t="shared" si="52"/>
        <v>0</v>
      </c>
    </row>
  </sheetData>
  <mergeCells count="104">
    <mergeCell ref="AE15:AG15"/>
    <mergeCell ref="C3:D3"/>
    <mergeCell ref="C4:D4"/>
    <mergeCell ref="E4:G4"/>
    <mergeCell ref="H7:K7"/>
    <mergeCell ref="H6:J6"/>
    <mergeCell ref="E7:G7"/>
    <mergeCell ref="C7:D7"/>
    <mergeCell ref="I5:K5"/>
    <mergeCell ref="C5:D5"/>
    <mergeCell ref="E6:G6"/>
    <mergeCell ref="C6:D6"/>
    <mergeCell ref="E5:H5"/>
    <mergeCell ref="J3:L3"/>
    <mergeCell ref="H4:K4"/>
    <mergeCell ref="E3:I3"/>
    <mergeCell ref="L6:N6"/>
    <mergeCell ref="L15:O15"/>
    <mergeCell ref="L14:P14"/>
    <mergeCell ref="I11:J11"/>
    <mergeCell ref="O9:S9"/>
    <mergeCell ref="C14:D14"/>
    <mergeCell ref="R13:T13"/>
    <mergeCell ref="C12:E12"/>
    <mergeCell ref="C8:D8"/>
    <mergeCell ref="C10:E10"/>
    <mergeCell ref="F9:H9"/>
    <mergeCell ref="L9:N9"/>
    <mergeCell ref="S8:U8"/>
    <mergeCell ref="AE6:AF6"/>
    <mergeCell ref="AE8:AG8"/>
    <mergeCell ref="AE9:AG9"/>
    <mergeCell ref="AE12:AG12"/>
    <mergeCell ref="T9:Y9"/>
    <mergeCell ref="W8:Z8"/>
    <mergeCell ref="U7:X7"/>
    <mergeCell ref="L7:N7"/>
    <mergeCell ref="O7:Q7"/>
    <mergeCell ref="Y7:AC7"/>
    <mergeCell ref="AA8:AC8"/>
    <mergeCell ref="E8:J8"/>
    <mergeCell ref="AD10:AF10"/>
    <mergeCell ref="F15:G15"/>
    <mergeCell ref="E14:H14"/>
    <mergeCell ref="Q14:U14"/>
    <mergeCell ref="U13:X13"/>
    <mergeCell ref="F11:H11"/>
    <mergeCell ref="K12:M12"/>
    <mergeCell ref="V15:X15"/>
    <mergeCell ref="C9:E9"/>
    <mergeCell ref="Q15:U15"/>
    <mergeCell ref="F10:K10"/>
    <mergeCell ref="N11:Q12"/>
    <mergeCell ref="S11:V11"/>
    <mergeCell ref="W11:Y11"/>
    <mergeCell ref="U12:Y12"/>
    <mergeCell ref="I14:K14"/>
    <mergeCell ref="F12:I12"/>
    <mergeCell ref="Y10:Z10"/>
    <mergeCell ref="I9:K9"/>
    <mergeCell ref="K11:M11"/>
    <mergeCell ref="F13:I13"/>
    <mergeCell ref="C13:E13"/>
    <mergeCell ref="AB15:AD15"/>
    <mergeCell ref="AE3:AG4"/>
    <mergeCell ref="J13:O13"/>
    <mergeCell ref="Y14:AB14"/>
    <mergeCell ref="Y15:AA15"/>
    <mergeCell ref="AE14:AG14"/>
    <mergeCell ref="AD13:AE13"/>
    <mergeCell ref="Z13:AC13"/>
    <mergeCell ref="AF13:AG13"/>
    <mergeCell ref="Z11:AE11"/>
    <mergeCell ref="L5:N5"/>
    <mergeCell ref="S5:U5"/>
    <mergeCell ref="N3:R3"/>
    <mergeCell ref="H15:K15"/>
    <mergeCell ref="Z5:AE5"/>
    <mergeCell ref="AE7:AG7"/>
    <mergeCell ref="AC14:AD14"/>
    <mergeCell ref="AF11:AG11"/>
    <mergeCell ref="V14:X14"/>
    <mergeCell ref="R12:T12"/>
    <mergeCell ref="Y6:AA6"/>
    <mergeCell ref="AB6:AD6"/>
    <mergeCell ref="T4:X4"/>
    <mergeCell ref="AA3:AD4"/>
    <mergeCell ref="T3:Z3"/>
    <mergeCell ref="V5:X5"/>
    <mergeCell ref="T6:W6"/>
    <mergeCell ref="P10:S10"/>
    <mergeCell ref="T10:W10"/>
    <mergeCell ref="O8:Q8"/>
    <mergeCell ref="L10:O10"/>
    <mergeCell ref="K8:N8"/>
    <mergeCell ref="AA12:AC12"/>
    <mergeCell ref="Q4:S4"/>
    <mergeCell ref="Y4:Z4"/>
    <mergeCell ref="M4:P4"/>
    <mergeCell ref="O5:R5"/>
    <mergeCell ref="O6:Q6"/>
    <mergeCell ref="AA10:AC10"/>
    <mergeCell ref="Z9:AC9"/>
    <mergeCell ref="R7:T7"/>
  </mergeCells>
  <conditionalFormatting sqref="C18:A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F360-16A7-468E-AADC-FC1AC69C54E2}">
  <sheetPr>
    <tabColor theme="4" tint="0.59999389629810485"/>
  </sheetPr>
  <dimension ref="A1:AN38"/>
  <sheetViews>
    <sheetView zoomScale="40" zoomScaleNormal="40" workbookViewId="0">
      <pane xSplit="2" ySplit="2" topLeftCell="AE8" activePane="bottomRight" state="frozen"/>
      <selection pane="bottomRight" activeCell="F5" sqref="F5:I5"/>
      <selection pane="bottomLeft" activeCell="I5" sqref="I5"/>
      <selection pane="topRight" activeCell="I5" sqref="I5"/>
    </sheetView>
  </sheetViews>
  <sheetFormatPr defaultColWidth="8.7109375" defaultRowHeight="22.35"/>
  <cols>
    <col min="1" max="1" width="9.85546875" style="18" customWidth="1"/>
    <col min="2" max="2" width="30" style="18" bestFit="1" customWidth="1"/>
    <col min="3" max="3" width="23.42578125" style="7" hidden="1" customWidth="1"/>
    <col min="4" max="4" width="21.85546875" style="7" hidden="1" customWidth="1"/>
    <col min="5" max="5" width="18.7109375" style="7" hidden="1" customWidth="1"/>
    <col min="6" max="7" width="15.5703125" style="7" hidden="1" customWidth="1"/>
    <col min="8" max="8" width="17.42578125" style="7" hidden="1" customWidth="1"/>
    <col min="9" max="9" width="19.140625" style="7" hidden="1" customWidth="1"/>
    <col min="10" max="11" width="15.5703125" style="7" hidden="1" customWidth="1"/>
    <col min="12" max="12" width="19.140625" style="7" hidden="1" customWidth="1"/>
    <col min="13" max="13" width="18.42578125" style="7" hidden="1" customWidth="1"/>
    <col min="14" max="15" width="15.5703125" style="7" hidden="1" customWidth="1"/>
    <col min="16" max="18" width="19.5703125" style="7" hidden="1" customWidth="1"/>
    <col min="19" max="20" width="21.42578125" style="7" hidden="1" customWidth="1"/>
    <col min="21" max="26" width="18.85546875" style="7" hidden="1" customWidth="1"/>
    <col min="27" max="28" width="15.5703125" style="7" hidden="1" customWidth="1"/>
    <col min="29" max="29" width="18.5703125" style="7" hidden="1" customWidth="1"/>
    <col min="30" max="30" width="15.5703125" style="7" hidden="1" customWidth="1"/>
    <col min="31" max="31" width="15.28515625" style="7" customWidth="1"/>
    <col min="32" max="32" width="18.42578125" style="7" customWidth="1"/>
    <col min="33" max="33" width="20.7109375" style="7" customWidth="1"/>
    <col min="34" max="34" width="19.140625" style="26" customWidth="1"/>
    <col min="35" max="37" width="21.28515625" style="26" customWidth="1"/>
    <col min="38" max="38" width="15.5703125" style="26" customWidth="1"/>
    <col min="39" max="39" width="17.42578125" style="26" customWidth="1"/>
    <col min="40" max="40" width="15.5703125" style="26" customWidth="1"/>
    <col min="41" max="16384" width="8.7109375" style="7"/>
  </cols>
  <sheetData>
    <row r="1" spans="1:40" ht="45.2" customHeight="1">
      <c r="A1" s="5" t="s">
        <v>0</v>
      </c>
      <c r="B1" s="5" t="s">
        <v>1</v>
      </c>
      <c r="C1" s="6">
        <v>1</v>
      </c>
      <c r="D1" s="6">
        <v>2</v>
      </c>
      <c r="E1" s="5">
        <v>3</v>
      </c>
      <c r="F1" s="5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5">
        <v>10</v>
      </c>
      <c r="M1" s="5">
        <v>11</v>
      </c>
      <c r="N1" s="5">
        <v>12</v>
      </c>
      <c r="O1" s="6">
        <v>13</v>
      </c>
      <c r="P1" s="6">
        <v>14</v>
      </c>
      <c r="Q1" s="6">
        <v>15</v>
      </c>
      <c r="R1" s="5">
        <v>16</v>
      </c>
      <c r="S1" s="5">
        <v>17</v>
      </c>
      <c r="T1" s="5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5">
        <v>24</v>
      </c>
      <c r="AA1" s="5">
        <v>25</v>
      </c>
      <c r="AB1" s="5">
        <v>26</v>
      </c>
      <c r="AC1" s="5">
        <v>27</v>
      </c>
      <c r="AD1" s="6">
        <v>28</v>
      </c>
      <c r="AE1" s="6">
        <v>29</v>
      </c>
      <c r="AF1" s="6">
        <v>30</v>
      </c>
      <c r="AG1" s="6">
        <v>31</v>
      </c>
      <c r="AH1" s="25">
        <v>1</v>
      </c>
      <c r="AI1" s="25">
        <v>2</v>
      </c>
      <c r="AJ1" s="24">
        <v>3</v>
      </c>
      <c r="AK1" s="24">
        <v>4</v>
      </c>
      <c r="AL1" s="25">
        <v>5</v>
      </c>
      <c r="AM1" s="25">
        <v>6</v>
      </c>
      <c r="AN1" s="25">
        <v>7</v>
      </c>
    </row>
    <row r="2" spans="1:40" ht="27.75" customHeight="1">
      <c r="A2" s="8"/>
      <c r="B2" s="8"/>
      <c r="C2" s="61" t="s">
        <v>7</v>
      </c>
      <c r="D2" s="58" t="s">
        <v>8</v>
      </c>
      <c r="E2" s="59" t="s">
        <v>2</v>
      </c>
      <c r="F2" s="60" t="s">
        <v>3</v>
      </c>
      <c r="G2" s="58" t="s">
        <v>4</v>
      </c>
      <c r="H2" s="58" t="s">
        <v>5</v>
      </c>
      <c r="I2" s="61" t="s">
        <v>6</v>
      </c>
      <c r="J2" s="58" t="s">
        <v>7</v>
      </c>
      <c r="K2" s="58" t="s">
        <v>8</v>
      </c>
      <c r="L2" s="59" t="s">
        <v>2</v>
      </c>
      <c r="M2" s="60" t="s">
        <v>3</v>
      </c>
      <c r="N2" s="58" t="s">
        <v>4</v>
      </c>
      <c r="O2" s="58" t="s">
        <v>5</v>
      </c>
      <c r="P2" s="61" t="s">
        <v>6</v>
      </c>
      <c r="Q2" s="58" t="s">
        <v>7</v>
      </c>
      <c r="R2" s="58" t="s">
        <v>8</v>
      </c>
      <c r="S2" s="59" t="s">
        <v>2</v>
      </c>
      <c r="T2" s="60" t="s">
        <v>3</v>
      </c>
      <c r="U2" s="58" t="s">
        <v>4</v>
      </c>
      <c r="V2" s="58" t="s">
        <v>5</v>
      </c>
      <c r="W2" s="61" t="s">
        <v>6</v>
      </c>
      <c r="X2" s="58" t="s">
        <v>7</v>
      </c>
      <c r="Y2" s="9" t="s">
        <v>8</v>
      </c>
      <c r="Z2" s="10" t="s">
        <v>2</v>
      </c>
      <c r="AA2" s="11" t="s">
        <v>3</v>
      </c>
      <c r="AB2" s="58" t="s">
        <v>4</v>
      </c>
      <c r="AC2" s="58" t="s">
        <v>5</v>
      </c>
      <c r="AD2" s="61" t="s">
        <v>6</v>
      </c>
      <c r="AE2" s="58" t="s">
        <v>7</v>
      </c>
      <c r="AF2" s="58" t="s">
        <v>8</v>
      </c>
      <c r="AG2" s="59" t="s">
        <v>2</v>
      </c>
      <c r="AH2" s="31" t="s">
        <v>3</v>
      </c>
      <c r="AI2" s="28" t="s">
        <v>4</v>
      </c>
      <c r="AJ2" s="28" t="s">
        <v>5</v>
      </c>
      <c r="AK2" s="29" t="s">
        <v>6</v>
      </c>
      <c r="AL2" s="52" t="s">
        <v>7</v>
      </c>
      <c r="AM2" s="52" t="s">
        <v>8</v>
      </c>
      <c r="AN2" s="50" t="s">
        <v>2</v>
      </c>
    </row>
    <row r="3" spans="1:40" ht="85.5" customHeight="1">
      <c r="A3" s="12">
        <v>1</v>
      </c>
      <c r="B3" s="15" t="s">
        <v>9</v>
      </c>
      <c r="C3" s="472" t="s">
        <v>224</v>
      </c>
      <c r="D3" s="447"/>
      <c r="E3" s="447"/>
      <c r="F3" s="380" t="s">
        <v>225</v>
      </c>
      <c r="G3" s="380"/>
      <c r="H3" s="380"/>
      <c r="I3" s="380"/>
      <c r="J3" s="397" t="s">
        <v>226</v>
      </c>
      <c r="K3" s="398"/>
      <c r="L3" s="398"/>
      <c r="M3" s="397" t="s">
        <v>227</v>
      </c>
      <c r="N3" s="398"/>
      <c r="O3" s="456"/>
      <c r="P3" s="477" t="s">
        <v>228</v>
      </c>
      <c r="Q3" s="478"/>
      <c r="R3" s="479"/>
      <c r="S3" s="479"/>
      <c r="T3" s="480"/>
      <c r="U3" s="445" t="s">
        <v>229</v>
      </c>
      <c r="V3" s="232"/>
      <c r="W3" s="232"/>
      <c r="X3" s="394"/>
      <c r="Y3" s="443" t="s">
        <v>230</v>
      </c>
      <c r="Z3" s="232"/>
      <c r="AA3" s="394"/>
      <c r="AB3" s="88">
        <v>1</v>
      </c>
      <c r="AC3" s="517" t="s">
        <v>231</v>
      </c>
      <c r="AD3" s="518"/>
      <c r="AE3" s="439"/>
      <c r="AF3" s="438" t="s">
        <v>232</v>
      </c>
      <c r="AG3" s="439"/>
      <c r="AH3" s="192" t="s">
        <v>232</v>
      </c>
      <c r="AI3" s="362" t="s">
        <v>233</v>
      </c>
      <c r="AJ3" s="362"/>
      <c r="AK3" s="215"/>
      <c r="AL3" s="424" t="s">
        <v>234</v>
      </c>
      <c r="AM3" s="425"/>
      <c r="AN3" s="426"/>
    </row>
    <row r="4" spans="1:40" ht="85.5" customHeight="1">
      <c r="A4" s="14">
        <v>2</v>
      </c>
      <c r="B4" s="15" t="s">
        <v>9</v>
      </c>
      <c r="C4" s="473"/>
      <c r="D4" s="473"/>
      <c r="E4" s="473"/>
      <c r="F4" s="474" t="s">
        <v>235</v>
      </c>
      <c r="G4" s="475"/>
      <c r="H4" s="476" t="s">
        <v>236</v>
      </c>
      <c r="I4" s="476"/>
      <c r="J4" s="476"/>
      <c r="K4" s="86">
        <v>1</v>
      </c>
      <c r="L4" s="474" t="s">
        <v>237</v>
      </c>
      <c r="M4" s="475"/>
      <c r="N4" s="456"/>
      <c r="O4" s="470" t="s">
        <v>238</v>
      </c>
      <c r="P4" s="232"/>
      <c r="Q4" s="394"/>
      <c r="R4" s="443" t="s">
        <v>239</v>
      </c>
      <c r="S4" s="232"/>
      <c r="T4" s="394"/>
      <c r="U4" s="259"/>
      <c r="V4" s="259"/>
      <c r="W4" s="259"/>
      <c r="X4" s="259"/>
      <c r="Y4" s="470" t="s">
        <v>240</v>
      </c>
      <c r="Z4" s="519"/>
      <c r="AA4" s="444" t="s">
        <v>241</v>
      </c>
      <c r="AB4" s="445"/>
      <c r="AC4" s="446"/>
      <c r="AD4" s="457" t="s">
        <v>242</v>
      </c>
      <c r="AE4" s="458"/>
      <c r="AF4" s="458"/>
      <c r="AG4" s="102" t="s">
        <v>243</v>
      </c>
      <c r="AH4" s="215" t="s">
        <v>243</v>
      </c>
      <c r="AI4" s="279"/>
      <c r="AJ4" s="279"/>
      <c r="AK4" s="225"/>
      <c r="AL4" s="7"/>
      <c r="AM4" s="7"/>
      <c r="AN4" s="7"/>
    </row>
    <row r="5" spans="1:40" ht="92.25" customHeight="1">
      <c r="A5" s="14">
        <v>3</v>
      </c>
      <c r="B5" s="15" t="s">
        <v>29</v>
      </c>
      <c r="C5" s="380" t="s">
        <v>244</v>
      </c>
      <c r="D5" s="380"/>
      <c r="E5" s="380"/>
      <c r="F5" s="397" t="s">
        <v>245</v>
      </c>
      <c r="G5" s="398"/>
      <c r="H5" s="398"/>
      <c r="I5" s="398"/>
      <c r="J5" s="403" t="s">
        <v>246</v>
      </c>
      <c r="K5" s="403"/>
      <c r="L5" s="403"/>
      <c r="M5" s="403"/>
      <c r="N5" s="403"/>
      <c r="O5" s="380" t="s">
        <v>247</v>
      </c>
      <c r="P5" s="380"/>
      <c r="Q5" s="380"/>
      <c r="R5" s="380" t="s">
        <v>248</v>
      </c>
      <c r="S5" s="380"/>
      <c r="T5" s="380"/>
      <c r="U5" s="380" t="s">
        <v>249</v>
      </c>
      <c r="V5" s="380"/>
      <c r="W5" s="380"/>
      <c r="X5" s="380"/>
      <c r="Y5" s="380"/>
      <c r="Z5" s="106">
        <v>1</v>
      </c>
      <c r="AA5" s="380" t="s">
        <v>250</v>
      </c>
      <c r="AB5" s="380"/>
      <c r="AC5" s="380"/>
      <c r="AD5" s="380"/>
      <c r="AE5" s="380"/>
      <c r="AF5" s="362" t="s">
        <v>251</v>
      </c>
      <c r="AG5" s="362"/>
      <c r="AH5" s="183" t="s">
        <v>251</v>
      </c>
      <c r="AI5" s="362" t="s">
        <v>252</v>
      </c>
      <c r="AJ5" s="362"/>
      <c r="AK5" s="362"/>
      <c r="AL5" s="251" t="s">
        <v>253</v>
      </c>
      <c r="AM5" s="251"/>
      <c r="AN5" s="251"/>
    </row>
    <row r="6" spans="1:40" ht="108" customHeight="1">
      <c r="A6" s="14">
        <v>4</v>
      </c>
      <c r="B6" s="15" t="s">
        <v>37</v>
      </c>
      <c r="C6" s="397" t="s">
        <v>154</v>
      </c>
      <c r="D6" s="398"/>
      <c r="E6" s="398"/>
      <c r="F6" s="362" t="s">
        <v>254</v>
      </c>
      <c r="G6" s="362"/>
      <c r="H6" s="397" t="s">
        <v>255</v>
      </c>
      <c r="I6" s="398"/>
      <c r="J6" s="398"/>
      <c r="K6" s="362" t="s">
        <v>256</v>
      </c>
      <c r="L6" s="362"/>
      <c r="M6" s="397" t="s">
        <v>257</v>
      </c>
      <c r="N6" s="398"/>
      <c r="O6" s="398"/>
      <c r="P6" s="398"/>
      <c r="Q6" s="362" t="s">
        <v>258</v>
      </c>
      <c r="R6" s="362"/>
      <c r="S6" s="362"/>
      <c r="T6" s="380" t="s">
        <v>259</v>
      </c>
      <c r="U6" s="380"/>
      <c r="V6" s="380"/>
      <c r="W6" s="397" t="s">
        <v>260</v>
      </c>
      <c r="X6" s="398"/>
      <c r="Y6" s="398"/>
      <c r="Z6" s="380" t="s">
        <v>261</v>
      </c>
      <c r="AA6" s="380"/>
      <c r="AB6" s="380"/>
      <c r="AC6" s="380"/>
      <c r="AD6" s="380"/>
      <c r="AE6" s="380"/>
      <c r="AF6" s="362" t="s">
        <v>262</v>
      </c>
      <c r="AG6" s="362"/>
      <c r="AH6" s="197" t="s">
        <v>262</v>
      </c>
      <c r="AI6" s="397" t="s">
        <v>263</v>
      </c>
      <c r="AJ6" s="475"/>
      <c r="AK6" s="456"/>
      <c r="AL6" s="7"/>
      <c r="AM6" s="7"/>
      <c r="AN6" s="7"/>
    </row>
    <row r="7" spans="1:40" ht="101.1" customHeight="1">
      <c r="A7" s="14">
        <v>5</v>
      </c>
      <c r="B7" s="13" t="s">
        <v>37</v>
      </c>
      <c r="C7" s="380" t="s">
        <v>162</v>
      </c>
      <c r="D7" s="380"/>
      <c r="E7" s="362" t="s">
        <v>264</v>
      </c>
      <c r="F7" s="362"/>
      <c r="G7" s="362"/>
      <c r="H7" s="397" t="s">
        <v>265</v>
      </c>
      <c r="I7" s="398"/>
      <c r="J7" s="398"/>
      <c r="K7" s="397" t="s">
        <v>266</v>
      </c>
      <c r="L7" s="398"/>
      <c r="M7" s="398"/>
      <c r="N7" s="398"/>
      <c r="O7" s="398"/>
      <c r="P7" s="398"/>
      <c r="Q7" s="448" t="s">
        <v>267</v>
      </c>
      <c r="R7" s="448"/>
      <c r="S7" s="448"/>
      <c r="T7" s="448"/>
      <c r="U7" s="397" t="s">
        <v>268</v>
      </c>
      <c r="V7" s="398"/>
      <c r="W7" s="398"/>
      <c r="X7" s="398"/>
      <c r="Y7" s="398"/>
      <c r="Z7" s="57">
        <v>1</v>
      </c>
      <c r="AA7" s="380" t="s">
        <v>269</v>
      </c>
      <c r="AB7" s="380"/>
      <c r="AC7" s="380"/>
      <c r="AD7" s="380"/>
      <c r="AE7" s="380"/>
      <c r="AF7" s="380"/>
      <c r="AG7" s="380"/>
      <c r="AH7" s="57">
        <v>1</v>
      </c>
      <c r="AI7" s="88">
        <v>1</v>
      </c>
      <c r="AJ7" s="424" t="s">
        <v>270</v>
      </c>
      <c r="AK7" s="425"/>
      <c r="AL7" s="425"/>
      <c r="AM7" s="425"/>
      <c r="AN7" s="426"/>
    </row>
    <row r="8" spans="1:40" ht="103.35" customHeight="1">
      <c r="A8" s="14">
        <v>6</v>
      </c>
      <c r="B8" s="13" t="s">
        <v>9</v>
      </c>
      <c r="C8" s="380" t="s">
        <v>169</v>
      </c>
      <c r="D8" s="380"/>
      <c r="E8" s="380" t="s">
        <v>271</v>
      </c>
      <c r="F8" s="380"/>
      <c r="G8" s="380"/>
      <c r="H8" s="380"/>
      <c r="I8" s="380"/>
      <c r="J8" s="380" t="s">
        <v>272</v>
      </c>
      <c r="K8" s="380"/>
      <c r="L8" s="380"/>
      <c r="M8" s="380"/>
      <c r="N8" s="380" t="s">
        <v>271</v>
      </c>
      <c r="O8" s="380"/>
      <c r="P8" s="380"/>
      <c r="Q8" s="448"/>
      <c r="R8" s="448"/>
      <c r="S8" s="448"/>
      <c r="T8" s="448"/>
      <c r="U8" s="106" t="s">
        <v>273</v>
      </c>
      <c r="V8" s="447" t="s">
        <v>274</v>
      </c>
      <c r="W8" s="448"/>
      <c r="X8" s="448"/>
      <c r="Y8" s="448"/>
      <c r="Z8" s="380" t="s">
        <v>275</v>
      </c>
      <c r="AA8" s="380"/>
      <c r="AB8" s="380"/>
      <c r="AC8" s="369" t="s">
        <v>276</v>
      </c>
      <c r="AD8" s="369"/>
      <c r="AE8" s="369"/>
      <c r="AF8" s="362" t="s">
        <v>277</v>
      </c>
      <c r="AG8" s="362"/>
      <c r="AH8" s="192" t="s">
        <v>277</v>
      </c>
      <c r="AI8" s="98">
        <v>1</v>
      </c>
      <c r="AJ8" s="385" t="s">
        <v>278</v>
      </c>
      <c r="AK8" s="283"/>
      <c r="AL8" s="283"/>
      <c r="AM8" s="287"/>
      <c r="AN8" s="110">
        <v>1</v>
      </c>
    </row>
    <row r="9" spans="1:40" ht="97.9" customHeight="1">
      <c r="A9" s="14">
        <v>7</v>
      </c>
      <c r="B9" s="13" t="s">
        <v>9</v>
      </c>
      <c r="C9" s="453" t="s">
        <v>279</v>
      </c>
      <c r="D9" s="332"/>
      <c r="E9" s="419"/>
      <c r="F9" s="454" t="s">
        <v>280</v>
      </c>
      <c r="G9" s="455"/>
      <c r="H9" s="455"/>
      <c r="I9" s="455"/>
      <c r="J9" s="104"/>
      <c r="K9" s="500" t="s">
        <v>281</v>
      </c>
      <c r="L9" s="418"/>
      <c r="M9" s="418"/>
      <c r="N9" s="506" t="s">
        <v>282</v>
      </c>
      <c r="O9" s="507"/>
      <c r="P9" s="507"/>
      <c r="Q9" s="507"/>
      <c r="R9" s="508"/>
      <c r="S9" s="332" t="s">
        <v>283</v>
      </c>
      <c r="T9" s="332"/>
      <c r="U9" s="442"/>
      <c r="V9" s="105"/>
      <c r="W9" s="450" t="s">
        <v>284</v>
      </c>
      <c r="X9" s="451"/>
      <c r="Y9" s="418"/>
      <c r="Z9" s="449"/>
      <c r="AA9" s="510" t="s">
        <v>285</v>
      </c>
      <c r="AB9" s="510"/>
      <c r="AC9" s="510"/>
      <c r="AD9" s="510"/>
      <c r="AE9" s="511"/>
      <c r="AF9" s="512"/>
      <c r="AG9" s="196" t="s">
        <v>286</v>
      </c>
      <c r="AH9" s="258" t="s">
        <v>287</v>
      </c>
      <c r="AI9" s="259"/>
      <c r="AJ9" s="522"/>
      <c r="AK9" s="370" t="s">
        <v>288</v>
      </c>
      <c r="AL9" s="401"/>
      <c r="AM9" s="401"/>
      <c r="AN9" s="7"/>
    </row>
    <row r="10" spans="1:40" ht="97.35" customHeight="1">
      <c r="A10" s="14">
        <v>8</v>
      </c>
      <c r="B10" s="13" t="s">
        <v>9</v>
      </c>
      <c r="C10" s="471" t="s">
        <v>184</v>
      </c>
      <c r="D10" s="374"/>
      <c r="E10" s="459" t="s">
        <v>289</v>
      </c>
      <c r="F10" s="232"/>
      <c r="G10" s="460"/>
      <c r="H10" s="461"/>
      <c r="I10" s="484" t="s">
        <v>290</v>
      </c>
      <c r="J10" s="485"/>
      <c r="K10" s="486"/>
      <c r="L10" s="462" t="s">
        <v>291</v>
      </c>
      <c r="M10" s="444"/>
      <c r="N10" s="463"/>
      <c r="O10" s="464"/>
      <c r="P10" s="495" t="s">
        <v>292</v>
      </c>
      <c r="Q10" s="446"/>
      <c r="R10" s="446"/>
      <c r="S10" s="496"/>
      <c r="T10" s="497"/>
      <c r="U10" s="87"/>
      <c r="V10" s="420" t="s">
        <v>293</v>
      </c>
      <c r="W10" s="469"/>
      <c r="X10" s="331"/>
      <c r="Y10" s="376" t="s">
        <v>294</v>
      </c>
      <c r="Z10" s="404"/>
      <c r="AA10" s="513" t="s">
        <v>295</v>
      </c>
      <c r="AB10" s="514"/>
      <c r="AC10" s="514"/>
      <c r="AD10" s="514"/>
      <c r="AE10" s="462" t="s">
        <v>296</v>
      </c>
      <c r="AF10" s="515"/>
      <c r="AG10" s="516"/>
      <c r="AH10" s="195" t="s">
        <v>296</v>
      </c>
      <c r="AI10" s="470" t="s">
        <v>297</v>
      </c>
      <c r="AJ10" s="232"/>
      <c r="AK10" s="460"/>
      <c r="AL10" s="7"/>
      <c r="AM10" s="7"/>
      <c r="AN10" s="7"/>
    </row>
    <row r="11" spans="1:40" ht="85.5" customHeight="1">
      <c r="A11" s="14">
        <v>9</v>
      </c>
      <c r="B11" s="15" t="s">
        <v>29</v>
      </c>
      <c r="C11" s="92">
        <v>1</v>
      </c>
      <c r="D11" s="424" t="s">
        <v>298</v>
      </c>
      <c r="E11" s="460"/>
      <c r="F11" s="461"/>
      <c r="G11" s="467" t="s">
        <v>299</v>
      </c>
      <c r="H11" s="468"/>
      <c r="I11" s="487"/>
      <c r="J11" s="380"/>
      <c r="K11" s="488"/>
      <c r="L11" s="89">
        <v>1</v>
      </c>
      <c r="M11" s="491" t="s">
        <v>300</v>
      </c>
      <c r="N11" s="492"/>
      <c r="O11" s="492"/>
      <c r="P11" s="492"/>
      <c r="Q11" s="492"/>
      <c r="R11" s="492"/>
      <c r="S11" s="492"/>
      <c r="T11" s="492"/>
      <c r="U11" s="492"/>
      <c r="V11" s="492"/>
      <c r="W11" s="492"/>
      <c r="X11" s="493"/>
      <c r="Y11" s="494"/>
      <c r="Z11" s="111" t="s">
        <v>301</v>
      </c>
      <c r="AA11" s="470" t="s">
        <v>302</v>
      </c>
      <c r="AB11" s="443"/>
      <c r="AC11" s="426"/>
      <c r="AD11" s="327" t="s">
        <v>303</v>
      </c>
      <c r="AE11" s="418"/>
      <c r="AF11" s="449"/>
      <c r="AG11" s="101" t="s">
        <v>304</v>
      </c>
      <c r="AH11" s="215" t="s">
        <v>304</v>
      </c>
      <c r="AI11" s="279"/>
      <c r="AJ11" s="225"/>
      <c r="AK11" s="267" t="s">
        <v>305</v>
      </c>
      <c r="AL11" s="268"/>
      <c r="AM11" s="520"/>
      <c r="AN11" s="55">
        <v>1</v>
      </c>
    </row>
    <row r="12" spans="1:40" ht="85.5" customHeight="1">
      <c r="A12" s="14">
        <v>10</v>
      </c>
      <c r="B12" s="13" t="s">
        <v>37</v>
      </c>
      <c r="C12" s="55">
        <v>1</v>
      </c>
      <c r="D12" s="385" t="s">
        <v>306</v>
      </c>
      <c r="E12" s="283"/>
      <c r="F12" s="283"/>
      <c r="G12" s="297"/>
      <c r="H12" s="88">
        <v>1</v>
      </c>
      <c r="I12" s="489"/>
      <c r="J12" s="420"/>
      <c r="K12" s="490"/>
      <c r="L12" s="444" t="s">
        <v>307</v>
      </c>
      <c r="M12" s="446"/>
      <c r="N12" s="483"/>
      <c r="O12" s="482" t="s">
        <v>308</v>
      </c>
      <c r="P12" s="446"/>
      <c r="Q12" s="483"/>
      <c r="R12" s="82">
        <v>1</v>
      </c>
      <c r="S12" s="453" t="s">
        <v>309</v>
      </c>
      <c r="T12" s="332"/>
      <c r="U12" s="332"/>
      <c r="V12" s="332"/>
      <c r="W12" s="332"/>
      <c r="X12" s="481" t="s">
        <v>310</v>
      </c>
      <c r="Y12" s="330"/>
      <c r="Z12" s="330"/>
      <c r="AA12" s="330"/>
      <c r="AB12" s="430"/>
      <c r="AC12" s="100">
        <v>1</v>
      </c>
      <c r="AD12" s="450"/>
      <c r="AE12" s="451"/>
      <c r="AF12" s="452"/>
      <c r="AG12" s="465" t="s">
        <v>311</v>
      </c>
      <c r="AH12" s="466"/>
      <c r="AI12" s="254" t="s">
        <v>312</v>
      </c>
      <c r="AJ12" s="255"/>
      <c r="AK12" s="255"/>
      <c r="AL12" s="298"/>
      <c r="AM12" s="98">
        <v>1</v>
      </c>
      <c r="AN12" s="98">
        <v>1</v>
      </c>
    </row>
    <row r="13" spans="1:40" ht="85.5" customHeight="1">
      <c r="A13" s="14">
        <v>11</v>
      </c>
      <c r="B13" s="13" t="s">
        <v>37</v>
      </c>
      <c r="C13" s="336" t="s">
        <v>206</v>
      </c>
      <c r="D13" s="337"/>
      <c r="E13" s="496"/>
      <c r="F13" s="500" t="s">
        <v>313</v>
      </c>
      <c r="G13" s="418"/>
      <c r="H13" s="418"/>
      <c r="I13" s="470" t="s">
        <v>314</v>
      </c>
      <c r="J13" s="232"/>
      <c r="K13" s="394"/>
      <c r="L13" s="79">
        <v>1</v>
      </c>
      <c r="M13" s="501" t="s">
        <v>315</v>
      </c>
      <c r="N13" s="327"/>
      <c r="O13" s="327"/>
      <c r="P13" s="327"/>
      <c r="Q13" s="502"/>
      <c r="R13" s="465" t="s">
        <v>316</v>
      </c>
      <c r="S13" s="466"/>
      <c r="T13" s="424" t="s">
        <v>317</v>
      </c>
      <c r="U13" s="460"/>
      <c r="V13" s="460"/>
      <c r="W13" s="460"/>
      <c r="X13" s="460"/>
      <c r="Y13" s="460"/>
      <c r="Z13" s="460"/>
      <c r="AA13" s="460"/>
      <c r="AB13" s="460"/>
      <c r="AC13" s="460"/>
      <c r="AD13" s="460"/>
      <c r="AE13" s="460"/>
      <c r="AF13" s="268"/>
      <c r="AG13" s="509"/>
      <c r="AH13" s="470" t="s">
        <v>318</v>
      </c>
      <c r="AI13" s="232"/>
      <c r="AJ13" s="232"/>
      <c r="AK13" s="232"/>
      <c r="AL13" s="259"/>
      <c r="AM13" s="521"/>
      <c r="AN13" s="98">
        <v>1</v>
      </c>
    </row>
    <row r="14" spans="1:40" ht="85.5" customHeight="1">
      <c r="A14" s="14">
        <v>12</v>
      </c>
      <c r="B14" s="13" t="s">
        <v>9</v>
      </c>
      <c r="C14" s="193" t="s">
        <v>214</v>
      </c>
      <c r="D14" s="83"/>
      <c r="E14" s="424" t="s">
        <v>319</v>
      </c>
      <c r="F14" s="425"/>
      <c r="G14" s="425"/>
      <c r="H14" s="425"/>
      <c r="I14" s="376" t="s">
        <v>320</v>
      </c>
      <c r="J14" s="401"/>
      <c r="K14" s="241"/>
      <c r="L14" s="96"/>
      <c r="M14" s="503" t="s">
        <v>321</v>
      </c>
      <c r="N14" s="445"/>
      <c r="O14" s="445"/>
      <c r="P14" s="445"/>
      <c r="Q14" s="445"/>
      <c r="R14" s="445"/>
      <c r="S14" s="504"/>
      <c r="T14" s="498" t="s">
        <v>322</v>
      </c>
      <c r="U14" s="498"/>
      <c r="V14" s="498"/>
      <c r="W14" s="499"/>
      <c r="X14" s="417" t="s">
        <v>323</v>
      </c>
      <c r="Y14" s="505"/>
      <c r="Z14" s="505"/>
      <c r="AA14" s="411" t="s">
        <v>324</v>
      </c>
      <c r="AB14" s="441"/>
      <c r="AC14" s="344" t="s">
        <v>325</v>
      </c>
      <c r="AD14" s="345"/>
      <c r="AE14" s="345"/>
      <c r="AF14" s="364"/>
      <c r="AG14" s="346"/>
      <c r="AH14" s="98">
        <v>1</v>
      </c>
      <c r="AI14" s="98">
        <v>1</v>
      </c>
      <c r="AJ14" s="98">
        <v>1</v>
      </c>
      <c r="AK14" s="98">
        <v>1</v>
      </c>
      <c r="AL14" s="98">
        <v>1</v>
      </c>
      <c r="AM14" s="98">
        <v>1</v>
      </c>
      <c r="AN14" s="98">
        <v>1</v>
      </c>
    </row>
    <row r="15" spans="1:40" ht="85.5" customHeight="1">
      <c r="A15" s="14" t="s">
        <v>111</v>
      </c>
      <c r="B15" s="13" t="s">
        <v>112</v>
      </c>
      <c r="C15" s="193" t="s">
        <v>223</v>
      </c>
      <c r="D15" s="317" t="s">
        <v>326</v>
      </c>
      <c r="E15" s="332"/>
      <c r="F15" s="333"/>
      <c r="G15" s="385" t="s">
        <v>327</v>
      </c>
      <c r="H15" s="287"/>
      <c r="I15" s="97" t="s">
        <v>328</v>
      </c>
      <c r="J15" s="481" t="s">
        <v>329</v>
      </c>
      <c r="K15" s="330"/>
      <c r="L15" s="330"/>
      <c r="M15" s="430"/>
      <c r="N15" s="99" t="s">
        <v>330</v>
      </c>
      <c r="O15" s="481" t="s">
        <v>331</v>
      </c>
      <c r="P15" s="430"/>
      <c r="Q15" s="481" t="s">
        <v>332</v>
      </c>
      <c r="R15" s="330"/>
      <c r="S15" s="330"/>
      <c r="T15" s="330"/>
      <c r="U15" s="430"/>
      <c r="V15" s="481" t="s">
        <v>333</v>
      </c>
      <c r="W15" s="430"/>
      <c r="X15" s="318" t="s">
        <v>334</v>
      </c>
      <c r="Y15" s="318"/>
      <c r="Z15" s="318"/>
      <c r="AA15" s="318"/>
      <c r="AB15" s="318"/>
      <c r="AC15" s="440"/>
      <c r="AD15" s="389" t="s">
        <v>335</v>
      </c>
      <c r="AE15" s="379"/>
      <c r="AF15" s="376" t="s">
        <v>336</v>
      </c>
      <c r="AG15" s="251"/>
      <c r="AH15" s="404"/>
      <c r="AI15" s="98">
        <v>1</v>
      </c>
      <c r="AJ15" s="57">
        <v>1</v>
      </c>
      <c r="AK15" s="215" t="s">
        <v>337</v>
      </c>
      <c r="AL15" s="279"/>
      <c r="AM15" s="279"/>
      <c r="AN15" s="225"/>
    </row>
    <row r="16" spans="1:40" ht="84.95" customHeight="1">
      <c r="A16" s="4"/>
      <c r="B16" s="16"/>
      <c r="C16" s="72">
        <f>(31*13-SUM(C17:AG20))/(31*13)</f>
        <v>0.97270471464019848</v>
      </c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8">
        <f>(28*13-SUM(AH17:BI20))/(28*13)</f>
        <v>0.95604395604395609</v>
      </c>
      <c r="AI16" s="37"/>
      <c r="AJ16" s="37"/>
      <c r="AK16" s="37"/>
      <c r="AL16" s="37"/>
      <c r="AM16" s="37"/>
      <c r="AN16" s="37"/>
    </row>
    <row r="17" spans="1:40" ht="85.5" customHeight="1">
      <c r="A17" s="2"/>
      <c r="B17" s="3" t="s">
        <v>121</v>
      </c>
      <c r="C17" s="2">
        <f t="shared" ref="C17:AN17" si="0">C28+C34</f>
        <v>1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4">
        <f t="shared" si="0"/>
        <v>1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1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si="0"/>
        <v>0</v>
      </c>
      <c r="AH17" s="2">
        <f t="shared" si="0"/>
        <v>0</v>
      </c>
      <c r="AI17" s="2">
        <f t="shared" si="0"/>
        <v>0</v>
      </c>
      <c r="AJ17" s="4">
        <f t="shared" si="0"/>
        <v>0</v>
      </c>
      <c r="AK17" s="4">
        <f t="shared" si="0"/>
        <v>0</v>
      </c>
      <c r="AL17" s="4">
        <f t="shared" si="0"/>
        <v>0</v>
      </c>
      <c r="AM17" s="4">
        <f t="shared" si="0"/>
        <v>0</v>
      </c>
      <c r="AN17" s="4">
        <f t="shared" si="0"/>
        <v>0</v>
      </c>
    </row>
    <row r="18" spans="1:40" ht="85.5" customHeight="1">
      <c r="A18" s="2"/>
      <c r="B18" s="3" t="s">
        <v>122</v>
      </c>
      <c r="C18" s="2">
        <f t="shared" ref="C18:AN18" si="1">C26+C27+C31+C32+C33+C37</f>
        <v>0</v>
      </c>
      <c r="D18" s="2">
        <f t="shared" si="1"/>
        <v>0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1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  <c r="R18" s="4">
        <f t="shared" si="1"/>
        <v>0</v>
      </c>
      <c r="S18" s="4">
        <f t="shared" si="1"/>
        <v>0</v>
      </c>
      <c r="T18" s="4">
        <f t="shared" si="1"/>
        <v>0</v>
      </c>
      <c r="U18" s="4">
        <f t="shared" si="1"/>
        <v>0</v>
      </c>
      <c r="V18" s="4">
        <f t="shared" si="1"/>
        <v>0</v>
      </c>
      <c r="W18" s="4">
        <f t="shared" si="1"/>
        <v>0</v>
      </c>
      <c r="X18" s="4">
        <f t="shared" si="1"/>
        <v>0</v>
      </c>
      <c r="Y18" s="4">
        <f t="shared" si="1"/>
        <v>0</v>
      </c>
      <c r="Z18" s="4">
        <f t="shared" si="1"/>
        <v>0</v>
      </c>
      <c r="AA18" s="4">
        <f t="shared" si="1"/>
        <v>0</v>
      </c>
      <c r="AB18" s="4">
        <f t="shared" si="1"/>
        <v>1</v>
      </c>
      <c r="AC18" s="4">
        <f t="shared" si="1"/>
        <v>0</v>
      </c>
      <c r="AD18" s="4">
        <f t="shared" si="1"/>
        <v>0</v>
      </c>
      <c r="AE18" s="4">
        <f t="shared" si="1"/>
        <v>0</v>
      </c>
      <c r="AF18" s="4">
        <f t="shared" si="1"/>
        <v>0</v>
      </c>
      <c r="AG18" s="4">
        <f t="shared" si="1"/>
        <v>0</v>
      </c>
      <c r="AH18" s="2">
        <f t="shared" si="1"/>
        <v>1</v>
      </c>
      <c r="AI18" s="2">
        <f t="shared" si="1"/>
        <v>2</v>
      </c>
      <c r="AJ18" s="4">
        <f t="shared" si="1"/>
        <v>1</v>
      </c>
      <c r="AK18" s="4">
        <f t="shared" si="1"/>
        <v>1</v>
      </c>
      <c r="AL18" s="4">
        <f t="shared" si="1"/>
        <v>1</v>
      </c>
      <c r="AM18" s="4">
        <f t="shared" si="1"/>
        <v>1</v>
      </c>
      <c r="AN18" s="4">
        <f t="shared" si="1"/>
        <v>2</v>
      </c>
    </row>
    <row r="19" spans="1:40" ht="85.5" customHeight="1">
      <c r="A19" s="2"/>
      <c r="B19" s="3" t="s">
        <v>123</v>
      </c>
      <c r="C19" s="2">
        <f t="shared" ref="C19:AN19" si="2">C29+C30+C35+C36</f>
        <v>1</v>
      </c>
      <c r="D19" s="2">
        <f t="shared" si="2"/>
        <v>0</v>
      </c>
      <c r="E19" s="4">
        <f t="shared" si="2"/>
        <v>0</v>
      </c>
      <c r="F19" s="4">
        <f t="shared" si="2"/>
        <v>0</v>
      </c>
      <c r="G19" s="4">
        <f t="shared" si="2"/>
        <v>0</v>
      </c>
      <c r="H19" s="4">
        <f t="shared" si="2"/>
        <v>1</v>
      </c>
      <c r="I19" s="4">
        <f t="shared" si="2"/>
        <v>0</v>
      </c>
      <c r="J19" s="4">
        <f t="shared" si="2"/>
        <v>0</v>
      </c>
      <c r="K19" s="4">
        <f t="shared" si="2"/>
        <v>0</v>
      </c>
      <c r="L19" s="4">
        <f t="shared" si="2"/>
        <v>1</v>
      </c>
      <c r="M19" s="4">
        <f t="shared" si="2"/>
        <v>0</v>
      </c>
      <c r="N19" s="4">
        <f t="shared" si="2"/>
        <v>0</v>
      </c>
      <c r="O19" s="4">
        <f t="shared" si="2"/>
        <v>0</v>
      </c>
      <c r="P19" s="4">
        <f t="shared" si="2"/>
        <v>0</v>
      </c>
      <c r="Q19" s="4">
        <f t="shared" si="2"/>
        <v>0</v>
      </c>
      <c r="R19" s="4">
        <f t="shared" si="2"/>
        <v>1</v>
      </c>
      <c r="S19" s="4">
        <f t="shared" si="2"/>
        <v>0</v>
      </c>
      <c r="T19" s="4">
        <f t="shared" si="2"/>
        <v>0</v>
      </c>
      <c r="U19" s="4">
        <f t="shared" si="2"/>
        <v>0</v>
      </c>
      <c r="V19" s="4">
        <f t="shared" si="2"/>
        <v>0</v>
      </c>
      <c r="W19" s="4">
        <f t="shared" si="2"/>
        <v>0</v>
      </c>
      <c r="X19" s="4">
        <f t="shared" si="2"/>
        <v>0</v>
      </c>
      <c r="Y19" s="4">
        <f t="shared" si="2"/>
        <v>0</v>
      </c>
      <c r="Z19" s="4">
        <f t="shared" si="2"/>
        <v>1</v>
      </c>
      <c r="AA19" s="4">
        <f t="shared" si="2"/>
        <v>0</v>
      </c>
      <c r="AB19" s="4">
        <f t="shared" si="2"/>
        <v>0</v>
      </c>
      <c r="AC19" s="4">
        <f t="shared" si="2"/>
        <v>1</v>
      </c>
      <c r="AD19" s="4">
        <f t="shared" si="2"/>
        <v>0</v>
      </c>
      <c r="AE19" s="4">
        <f t="shared" si="2"/>
        <v>0</v>
      </c>
      <c r="AF19" s="4">
        <f t="shared" si="2"/>
        <v>0</v>
      </c>
      <c r="AG19" s="4">
        <f t="shared" si="2"/>
        <v>0</v>
      </c>
      <c r="AH19" s="2">
        <f t="shared" si="2"/>
        <v>1</v>
      </c>
      <c r="AI19" s="2">
        <f t="shared" si="2"/>
        <v>1</v>
      </c>
      <c r="AJ19" s="4">
        <f t="shared" si="2"/>
        <v>0</v>
      </c>
      <c r="AK19" s="4">
        <f t="shared" si="2"/>
        <v>0</v>
      </c>
      <c r="AL19" s="4">
        <f t="shared" si="2"/>
        <v>0</v>
      </c>
      <c r="AM19" s="4">
        <f t="shared" si="2"/>
        <v>1</v>
      </c>
      <c r="AN19" s="4">
        <f t="shared" si="2"/>
        <v>2</v>
      </c>
    </row>
    <row r="20" spans="1:40" ht="85.5" customHeight="1">
      <c r="A20" s="2"/>
      <c r="B20" s="3" t="s">
        <v>124</v>
      </c>
      <c r="C20" s="2">
        <f t="shared" ref="C20:AN20" si="3">C38</f>
        <v>0</v>
      </c>
      <c r="D20" s="2">
        <f t="shared" si="3"/>
        <v>0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  <c r="AE20" s="4">
        <f t="shared" si="3"/>
        <v>0</v>
      </c>
      <c r="AF20" s="4">
        <f t="shared" si="3"/>
        <v>0</v>
      </c>
      <c r="AG20" s="4">
        <f t="shared" si="3"/>
        <v>0</v>
      </c>
      <c r="AH20" s="2">
        <f t="shared" si="3"/>
        <v>0</v>
      </c>
      <c r="AI20" s="2">
        <f t="shared" si="3"/>
        <v>1</v>
      </c>
      <c r="AJ20" s="4">
        <f t="shared" si="3"/>
        <v>1</v>
      </c>
      <c r="AK20" s="4">
        <f t="shared" si="3"/>
        <v>0</v>
      </c>
      <c r="AL20" s="4">
        <f t="shared" si="3"/>
        <v>0</v>
      </c>
      <c r="AM20" s="4">
        <f t="shared" si="3"/>
        <v>0</v>
      </c>
      <c r="AN20" s="4">
        <f t="shared" si="3"/>
        <v>0</v>
      </c>
    </row>
    <row r="21" spans="1:40" ht="85.5" customHeight="1">
      <c r="C21" s="2">
        <f t="shared" ref="C21:AN21" si="4">SUM(C17:C20)</f>
        <v>2</v>
      </c>
      <c r="D21" s="2">
        <f t="shared" si="4"/>
        <v>0</v>
      </c>
      <c r="E21" s="2">
        <f t="shared" si="4"/>
        <v>0</v>
      </c>
      <c r="F21" s="2">
        <f t="shared" si="4"/>
        <v>0</v>
      </c>
      <c r="G21" s="2">
        <f t="shared" si="4"/>
        <v>0</v>
      </c>
      <c r="H21" s="2">
        <f t="shared" si="4"/>
        <v>1</v>
      </c>
      <c r="I21" s="2">
        <f t="shared" si="4"/>
        <v>0</v>
      </c>
      <c r="J21" s="2">
        <f t="shared" si="4"/>
        <v>0</v>
      </c>
      <c r="K21" s="2">
        <f t="shared" si="4"/>
        <v>1</v>
      </c>
      <c r="L21" s="2">
        <f t="shared" si="4"/>
        <v>2</v>
      </c>
      <c r="M21" s="2">
        <f t="shared" si="4"/>
        <v>0</v>
      </c>
      <c r="N21" s="2">
        <f t="shared" si="4"/>
        <v>0</v>
      </c>
      <c r="O21" s="2">
        <f t="shared" si="4"/>
        <v>0</v>
      </c>
      <c r="P21" s="2">
        <f t="shared" si="4"/>
        <v>0</v>
      </c>
      <c r="Q21" s="2">
        <f t="shared" si="4"/>
        <v>0</v>
      </c>
      <c r="R21" s="2">
        <f t="shared" si="4"/>
        <v>1</v>
      </c>
      <c r="S21" s="2">
        <f t="shared" si="4"/>
        <v>0</v>
      </c>
      <c r="T21" s="2">
        <f t="shared" si="4"/>
        <v>0</v>
      </c>
      <c r="U21" s="2">
        <f t="shared" si="4"/>
        <v>0</v>
      </c>
      <c r="V21" s="2">
        <f t="shared" si="4"/>
        <v>0</v>
      </c>
      <c r="W21" s="2">
        <f t="shared" si="4"/>
        <v>0</v>
      </c>
      <c r="X21" s="2">
        <f t="shared" si="4"/>
        <v>0</v>
      </c>
      <c r="Y21" s="2">
        <f t="shared" si="4"/>
        <v>0</v>
      </c>
      <c r="Z21" s="2">
        <f t="shared" si="4"/>
        <v>2</v>
      </c>
      <c r="AA21" s="2">
        <f t="shared" si="4"/>
        <v>0</v>
      </c>
      <c r="AB21" s="2">
        <f t="shared" si="4"/>
        <v>1</v>
      </c>
      <c r="AC21" s="2">
        <f t="shared" si="4"/>
        <v>1</v>
      </c>
      <c r="AD21" s="2">
        <f t="shared" si="4"/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1">
        <f t="shared" si="4"/>
        <v>2</v>
      </c>
      <c r="AI21" s="41">
        <f t="shared" si="4"/>
        <v>4</v>
      </c>
      <c r="AJ21" s="41">
        <f t="shared" si="4"/>
        <v>2</v>
      </c>
      <c r="AK21" s="41">
        <f t="shared" si="4"/>
        <v>1</v>
      </c>
      <c r="AL21" s="41">
        <f t="shared" si="4"/>
        <v>1</v>
      </c>
      <c r="AM21" s="41">
        <f t="shared" si="4"/>
        <v>2</v>
      </c>
      <c r="AN21" s="41">
        <f t="shared" si="4"/>
        <v>4</v>
      </c>
    </row>
    <row r="22" spans="1:40" ht="85.5" customHeight="1">
      <c r="A22" s="4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7"/>
      <c r="AI22" s="37"/>
      <c r="AJ22" s="37"/>
      <c r="AK22" s="37"/>
      <c r="AL22" s="37"/>
      <c r="AM22" s="37"/>
      <c r="AN22" s="37"/>
    </row>
    <row r="23" spans="1:40" ht="71.099999999999994" customHeight="1"/>
    <row r="24" spans="1:40" ht="61.35" customHeight="1">
      <c r="J24" s="7" cm="1">
        <f t="array" aca="1" ref="J24" ca="1">+J24+E26:E37+E26+E26:E38</f>
        <v>0</v>
      </c>
    </row>
    <row r="26" spans="1:40" ht="42" customHeight="1">
      <c r="B26" s="19">
        <v>1</v>
      </c>
      <c r="C26" s="18">
        <f t="shared" ref="C26:C34" si="5">IF(C3=1,1,0)</f>
        <v>0</v>
      </c>
      <c r="D26" s="18">
        <f t="shared" ref="D26:AE26" si="6">IF(D3=1,1,0)</f>
        <v>0</v>
      </c>
      <c r="E26" s="18">
        <f t="shared" si="6"/>
        <v>0</v>
      </c>
      <c r="F26" s="18">
        <f t="shared" si="6"/>
        <v>0</v>
      </c>
      <c r="G26" s="18">
        <f t="shared" si="6"/>
        <v>0</v>
      </c>
      <c r="H26" s="18">
        <f t="shared" si="6"/>
        <v>0</v>
      </c>
      <c r="I26" s="18">
        <f t="shared" si="6"/>
        <v>0</v>
      </c>
      <c r="J26" s="18">
        <f t="shared" ref="J26:N26" si="7">IF(J3=1,1,0)</f>
        <v>0</v>
      </c>
      <c r="K26" s="18">
        <f t="shared" si="7"/>
        <v>0</v>
      </c>
      <c r="L26" s="18">
        <f t="shared" si="7"/>
        <v>0</v>
      </c>
      <c r="M26" s="18">
        <f t="shared" si="7"/>
        <v>0</v>
      </c>
      <c r="N26" s="18">
        <f t="shared" si="7"/>
        <v>0</v>
      </c>
      <c r="O26" s="18">
        <f t="shared" si="6"/>
        <v>0</v>
      </c>
      <c r="P26" s="18">
        <f t="shared" si="6"/>
        <v>0</v>
      </c>
      <c r="Q26" s="18">
        <f t="shared" si="6"/>
        <v>0</v>
      </c>
      <c r="R26" s="18">
        <f t="shared" si="6"/>
        <v>0</v>
      </c>
      <c r="S26" s="18">
        <f t="shared" si="6"/>
        <v>0</v>
      </c>
      <c r="T26" s="18">
        <f t="shared" si="6"/>
        <v>0</v>
      </c>
      <c r="U26" s="18">
        <f t="shared" si="6"/>
        <v>0</v>
      </c>
      <c r="V26" s="18">
        <f t="shared" si="6"/>
        <v>0</v>
      </c>
      <c r="W26" s="18">
        <f t="shared" si="6"/>
        <v>0</v>
      </c>
      <c r="X26" s="18">
        <f t="shared" si="6"/>
        <v>0</v>
      </c>
      <c r="Y26" s="18">
        <f t="shared" si="6"/>
        <v>0</v>
      </c>
      <c r="Z26" s="18">
        <f t="shared" si="6"/>
        <v>0</v>
      </c>
      <c r="AA26" s="18">
        <f t="shared" si="6"/>
        <v>0</v>
      </c>
      <c r="AB26" s="18">
        <f t="shared" si="6"/>
        <v>1</v>
      </c>
      <c r="AC26" s="18">
        <f t="shared" si="6"/>
        <v>0</v>
      </c>
      <c r="AD26" s="18">
        <f t="shared" si="6"/>
        <v>0</v>
      </c>
      <c r="AE26" s="18">
        <f t="shared" si="6"/>
        <v>0</v>
      </c>
      <c r="AF26" s="18">
        <f t="shared" ref="AF26:AN33" si="8">IF(AF3=1,1,0)</f>
        <v>0</v>
      </c>
      <c r="AG26" s="18">
        <f t="shared" si="8"/>
        <v>0</v>
      </c>
      <c r="AH26" s="40">
        <f t="shared" si="8"/>
        <v>0</v>
      </c>
      <c r="AI26" s="40">
        <f t="shared" si="8"/>
        <v>0</v>
      </c>
      <c r="AJ26" s="40">
        <f t="shared" si="8"/>
        <v>0</v>
      </c>
      <c r="AK26" s="40">
        <f t="shared" si="8"/>
        <v>0</v>
      </c>
      <c r="AL26" s="40">
        <f t="shared" si="8"/>
        <v>0</v>
      </c>
      <c r="AM26" s="40">
        <f t="shared" si="8"/>
        <v>0</v>
      </c>
      <c r="AN26" s="40">
        <f t="shared" si="8"/>
        <v>0</v>
      </c>
    </row>
    <row r="27" spans="1:40" ht="42" customHeight="1">
      <c r="B27" s="19">
        <v>2</v>
      </c>
      <c r="C27" s="18">
        <f t="shared" si="5"/>
        <v>0</v>
      </c>
      <c r="D27" s="18">
        <f t="shared" ref="D27:AE27" si="9">IF(D4=1,1,0)</f>
        <v>0</v>
      </c>
      <c r="E27" s="18">
        <f t="shared" si="9"/>
        <v>0</v>
      </c>
      <c r="F27" s="18">
        <f t="shared" si="9"/>
        <v>0</v>
      </c>
      <c r="G27" s="18">
        <f t="shared" si="9"/>
        <v>0</v>
      </c>
      <c r="H27" s="18">
        <f t="shared" si="9"/>
        <v>0</v>
      </c>
      <c r="I27" s="18">
        <f t="shared" si="9"/>
        <v>0</v>
      </c>
      <c r="J27" s="18">
        <f t="shared" ref="J27:N27" si="10">IF(J4=1,1,0)</f>
        <v>0</v>
      </c>
      <c r="K27" s="18">
        <f t="shared" si="10"/>
        <v>1</v>
      </c>
      <c r="L27" s="18">
        <f t="shared" si="10"/>
        <v>0</v>
      </c>
      <c r="M27" s="18">
        <f t="shared" si="10"/>
        <v>0</v>
      </c>
      <c r="N27" s="18">
        <f t="shared" si="10"/>
        <v>0</v>
      </c>
      <c r="O27" s="18">
        <f t="shared" si="9"/>
        <v>0</v>
      </c>
      <c r="P27" s="18">
        <f t="shared" si="9"/>
        <v>0</v>
      </c>
      <c r="Q27" s="18">
        <f t="shared" si="9"/>
        <v>0</v>
      </c>
      <c r="R27" s="18">
        <f t="shared" si="9"/>
        <v>0</v>
      </c>
      <c r="S27" s="18">
        <f t="shared" si="9"/>
        <v>0</v>
      </c>
      <c r="T27" s="18">
        <f t="shared" si="9"/>
        <v>0</v>
      </c>
      <c r="U27" s="18">
        <f t="shared" si="9"/>
        <v>0</v>
      </c>
      <c r="V27" s="18">
        <f t="shared" si="9"/>
        <v>0</v>
      </c>
      <c r="W27" s="18">
        <f t="shared" si="9"/>
        <v>0</v>
      </c>
      <c r="X27" s="18">
        <f t="shared" si="9"/>
        <v>0</v>
      </c>
      <c r="Y27" s="18">
        <f t="shared" si="9"/>
        <v>0</v>
      </c>
      <c r="Z27" s="18">
        <f t="shared" si="9"/>
        <v>0</v>
      </c>
      <c r="AA27" s="18">
        <f t="shared" si="9"/>
        <v>0</v>
      </c>
      <c r="AB27" s="18">
        <f t="shared" si="9"/>
        <v>0</v>
      </c>
      <c r="AC27" s="18">
        <f t="shared" si="9"/>
        <v>0</v>
      </c>
      <c r="AD27" s="18">
        <f t="shared" si="9"/>
        <v>0</v>
      </c>
      <c r="AE27" s="18">
        <f t="shared" si="9"/>
        <v>0</v>
      </c>
      <c r="AF27" s="18">
        <f t="shared" ref="AF27:AG27" si="11">IF(AF4=1,1,0)</f>
        <v>0</v>
      </c>
      <c r="AG27" s="18">
        <f t="shared" si="11"/>
        <v>0</v>
      </c>
      <c r="AH27" s="40">
        <f t="shared" si="8"/>
        <v>0</v>
      </c>
      <c r="AI27" s="40">
        <f t="shared" si="8"/>
        <v>0</v>
      </c>
      <c r="AJ27" s="40">
        <f t="shared" si="8"/>
        <v>0</v>
      </c>
      <c r="AK27" s="40">
        <f t="shared" si="8"/>
        <v>0</v>
      </c>
      <c r="AL27" s="40">
        <f t="shared" si="8"/>
        <v>0</v>
      </c>
      <c r="AM27" s="40">
        <f t="shared" si="8"/>
        <v>0</v>
      </c>
      <c r="AN27" s="40">
        <f t="shared" si="8"/>
        <v>0</v>
      </c>
    </row>
    <row r="28" spans="1:40" ht="42" customHeight="1">
      <c r="B28" s="20">
        <v>3</v>
      </c>
      <c r="C28" s="18">
        <f t="shared" si="5"/>
        <v>0</v>
      </c>
      <c r="D28" s="18">
        <f t="shared" ref="D28:AE28" si="12">IF(D5=1,1,0)</f>
        <v>0</v>
      </c>
      <c r="E28" s="18">
        <f t="shared" si="12"/>
        <v>0</v>
      </c>
      <c r="F28" s="18">
        <f t="shared" si="12"/>
        <v>0</v>
      </c>
      <c r="G28" s="18">
        <f t="shared" si="12"/>
        <v>0</v>
      </c>
      <c r="H28" s="18">
        <f t="shared" si="12"/>
        <v>0</v>
      </c>
      <c r="I28" s="18">
        <f t="shared" si="12"/>
        <v>0</v>
      </c>
      <c r="J28" s="18">
        <f t="shared" ref="J28:N28" si="13">IF(J5=1,1,0)</f>
        <v>0</v>
      </c>
      <c r="K28" s="18">
        <f t="shared" si="13"/>
        <v>0</v>
      </c>
      <c r="L28" s="18">
        <f t="shared" si="13"/>
        <v>0</v>
      </c>
      <c r="M28" s="18">
        <f t="shared" si="13"/>
        <v>0</v>
      </c>
      <c r="N28" s="18">
        <f t="shared" si="13"/>
        <v>0</v>
      </c>
      <c r="O28" s="18">
        <f t="shared" si="12"/>
        <v>0</v>
      </c>
      <c r="P28" s="18">
        <f t="shared" si="12"/>
        <v>0</v>
      </c>
      <c r="Q28" s="18">
        <f t="shared" si="12"/>
        <v>0</v>
      </c>
      <c r="R28" s="18">
        <f t="shared" si="12"/>
        <v>0</v>
      </c>
      <c r="S28" s="18">
        <f t="shared" si="12"/>
        <v>0</v>
      </c>
      <c r="T28" s="18">
        <f t="shared" si="12"/>
        <v>0</v>
      </c>
      <c r="U28" s="18">
        <f t="shared" si="12"/>
        <v>0</v>
      </c>
      <c r="V28" s="18">
        <f t="shared" si="12"/>
        <v>0</v>
      </c>
      <c r="W28" s="18">
        <f t="shared" si="12"/>
        <v>0</v>
      </c>
      <c r="X28" s="18">
        <f t="shared" si="12"/>
        <v>0</v>
      </c>
      <c r="Y28" s="18">
        <f t="shared" si="12"/>
        <v>0</v>
      </c>
      <c r="Z28" s="18">
        <f t="shared" si="12"/>
        <v>1</v>
      </c>
      <c r="AA28" s="18">
        <f t="shared" si="12"/>
        <v>0</v>
      </c>
      <c r="AB28" s="18">
        <f t="shared" si="12"/>
        <v>0</v>
      </c>
      <c r="AC28" s="18">
        <f t="shared" si="12"/>
        <v>0</v>
      </c>
      <c r="AD28" s="18">
        <f t="shared" si="12"/>
        <v>0</v>
      </c>
      <c r="AE28" s="18">
        <f t="shared" si="12"/>
        <v>0</v>
      </c>
      <c r="AF28" s="18">
        <f t="shared" ref="AF28:AG28" si="14">IF(AF5=1,1,0)</f>
        <v>0</v>
      </c>
      <c r="AG28" s="18">
        <f t="shared" si="14"/>
        <v>0</v>
      </c>
      <c r="AH28" s="40">
        <f t="shared" si="8"/>
        <v>0</v>
      </c>
      <c r="AI28" s="40">
        <f t="shared" si="8"/>
        <v>0</v>
      </c>
      <c r="AJ28" s="40">
        <f t="shared" si="8"/>
        <v>0</v>
      </c>
      <c r="AK28" s="40">
        <f t="shared" si="8"/>
        <v>0</v>
      </c>
      <c r="AL28" s="40">
        <f t="shared" si="8"/>
        <v>0</v>
      </c>
      <c r="AM28" s="40">
        <f t="shared" si="8"/>
        <v>0</v>
      </c>
      <c r="AN28" s="40">
        <f t="shared" si="8"/>
        <v>0</v>
      </c>
    </row>
    <row r="29" spans="1:40" ht="42" customHeight="1">
      <c r="B29" s="21">
        <v>4</v>
      </c>
      <c r="C29" s="18">
        <f t="shared" si="5"/>
        <v>0</v>
      </c>
      <c r="D29" s="18">
        <f t="shared" ref="D29:AE29" si="15">IF(D6=1,1,0)</f>
        <v>0</v>
      </c>
      <c r="E29" s="18">
        <f t="shared" si="15"/>
        <v>0</v>
      </c>
      <c r="F29" s="18">
        <f t="shared" si="15"/>
        <v>0</v>
      </c>
      <c r="G29" s="18">
        <f t="shared" si="15"/>
        <v>0</v>
      </c>
      <c r="H29" s="18">
        <f t="shared" si="15"/>
        <v>0</v>
      </c>
      <c r="I29" s="18">
        <f t="shared" si="15"/>
        <v>0</v>
      </c>
      <c r="J29" s="18">
        <f t="shared" ref="J29:N29" si="16">IF(J6=1,1,0)</f>
        <v>0</v>
      </c>
      <c r="K29" s="18">
        <f t="shared" si="16"/>
        <v>0</v>
      </c>
      <c r="L29" s="18">
        <f t="shared" si="16"/>
        <v>0</v>
      </c>
      <c r="M29" s="18">
        <f t="shared" si="16"/>
        <v>0</v>
      </c>
      <c r="N29" s="18">
        <f t="shared" si="16"/>
        <v>0</v>
      </c>
      <c r="O29" s="18">
        <f t="shared" si="15"/>
        <v>0</v>
      </c>
      <c r="P29" s="18">
        <f t="shared" si="15"/>
        <v>0</v>
      </c>
      <c r="Q29" s="18">
        <f t="shared" si="15"/>
        <v>0</v>
      </c>
      <c r="R29" s="18">
        <f t="shared" si="15"/>
        <v>0</v>
      </c>
      <c r="S29" s="18">
        <f t="shared" si="15"/>
        <v>0</v>
      </c>
      <c r="T29" s="18">
        <f t="shared" si="15"/>
        <v>0</v>
      </c>
      <c r="U29" s="18">
        <f t="shared" si="15"/>
        <v>0</v>
      </c>
      <c r="V29" s="18">
        <f t="shared" si="15"/>
        <v>0</v>
      </c>
      <c r="W29" s="18">
        <f t="shared" si="15"/>
        <v>0</v>
      </c>
      <c r="X29" s="18">
        <f t="shared" si="15"/>
        <v>0</v>
      </c>
      <c r="Y29" s="18">
        <f t="shared" si="15"/>
        <v>0</v>
      </c>
      <c r="Z29" s="18">
        <f t="shared" si="15"/>
        <v>0</v>
      </c>
      <c r="AA29" s="18">
        <f t="shared" si="15"/>
        <v>0</v>
      </c>
      <c r="AB29" s="18">
        <f t="shared" si="15"/>
        <v>0</v>
      </c>
      <c r="AC29" s="18">
        <f t="shared" si="15"/>
        <v>0</v>
      </c>
      <c r="AD29" s="18">
        <f t="shared" si="15"/>
        <v>0</v>
      </c>
      <c r="AE29" s="18">
        <f t="shared" si="15"/>
        <v>0</v>
      </c>
      <c r="AF29" s="18">
        <f t="shared" ref="AF29:AG29" si="17">IF(AF6=1,1,0)</f>
        <v>0</v>
      </c>
      <c r="AG29" s="18">
        <f t="shared" si="17"/>
        <v>0</v>
      </c>
      <c r="AH29" s="40">
        <f t="shared" si="8"/>
        <v>0</v>
      </c>
      <c r="AI29" s="40">
        <f t="shared" si="8"/>
        <v>0</v>
      </c>
      <c r="AJ29" s="40">
        <f t="shared" si="8"/>
        <v>0</v>
      </c>
      <c r="AK29" s="40">
        <f t="shared" si="8"/>
        <v>0</v>
      </c>
      <c r="AL29" s="40">
        <f t="shared" si="8"/>
        <v>0</v>
      </c>
      <c r="AM29" s="40">
        <f t="shared" si="8"/>
        <v>0</v>
      </c>
      <c r="AN29" s="40">
        <f t="shared" si="8"/>
        <v>0</v>
      </c>
    </row>
    <row r="30" spans="1:40" ht="42" customHeight="1">
      <c r="B30" s="21">
        <v>5</v>
      </c>
      <c r="C30" s="18">
        <f t="shared" si="5"/>
        <v>0</v>
      </c>
      <c r="D30" s="18">
        <f t="shared" ref="D30:AE30" si="18">IF(D7=1,1,0)</f>
        <v>0</v>
      </c>
      <c r="E30" s="18">
        <f t="shared" si="18"/>
        <v>0</v>
      </c>
      <c r="F30" s="18">
        <f t="shared" si="18"/>
        <v>0</v>
      </c>
      <c r="G30" s="18">
        <f t="shared" si="18"/>
        <v>0</v>
      </c>
      <c r="H30" s="18">
        <f t="shared" si="18"/>
        <v>0</v>
      </c>
      <c r="I30" s="18">
        <f t="shared" si="18"/>
        <v>0</v>
      </c>
      <c r="J30" s="18">
        <f t="shared" si="18"/>
        <v>0</v>
      </c>
      <c r="K30" s="18">
        <f t="shared" si="18"/>
        <v>0</v>
      </c>
      <c r="L30" s="18">
        <f t="shared" si="18"/>
        <v>0</v>
      </c>
      <c r="M30" s="18">
        <f t="shared" si="18"/>
        <v>0</v>
      </c>
      <c r="N30" s="18">
        <f t="shared" si="18"/>
        <v>0</v>
      </c>
      <c r="O30" s="18">
        <f t="shared" si="18"/>
        <v>0</v>
      </c>
      <c r="P30" s="18">
        <f t="shared" si="18"/>
        <v>0</v>
      </c>
      <c r="Q30" s="18">
        <f t="shared" si="18"/>
        <v>0</v>
      </c>
      <c r="R30" s="18">
        <f t="shared" si="18"/>
        <v>0</v>
      </c>
      <c r="S30" s="18">
        <f t="shared" si="18"/>
        <v>0</v>
      </c>
      <c r="T30" s="18">
        <f t="shared" si="18"/>
        <v>0</v>
      </c>
      <c r="U30" s="18">
        <f t="shared" si="18"/>
        <v>0</v>
      </c>
      <c r="V30" s="18">
        <f t="shared" si="18"/>
        <v>0</v>
      </c>
      <c r="W30" s="18">
        <f t="shared" si="18"/>
        <v>0</v>
      </c>
      <c r="X30" s="18">
        <f t="shared" si="18"/>
        <v>0</v>
      </c>
      <c r="Y30" s="18">
        <f t="shared" si="18"/>
        <v>0</v>
      </c>
      <c r="Z30" s="18">
        <f t="shared" si="18"/>
        <v>1</v>
      </c>
      <c r="AA30" s="18">
        <f t="shared" si="18"/>
        <v>0</v>
      </c>
      <c r="AB30" s="18">
        <f t="shared" si="18"/>
        <v>0</v>
      </c>
      <c r="AC30" s="18">
        <f t="shared" si="18"/>
        <v>0</v>
      </c>
      <c r="AD30" s="18">
        <f t="shared" si="18"/>
        <v>0</v>
      </c>
      <c r="AE30" s="18">
        <f t="shared" si="18"/>
        <v>0</v>
      </c>
      <c r="AF30" s="18">
        <f t="shared" ref="AF30:AG30" si="19">IF(AF7=1,1,0)</f>
        <v>0</v>
      </c>
      <c r="AG30" s="18">
        <f t="shared" si="19"/>
        <v>0</v>
      </c>
      <c r="AH30" s="40">
        <f t="shared" si="8"/>
        <v>1</v>
      </c>
      <c r="AI30" s="40">
        <f t="shared" si="8"/>
        <v>1</v>
      </c>
      <c r="AJ30" s="40">
        <f t="shared" si="8"/>
        <v>0</v>
      </c>
      <c r="AK30" s="40">
        <f t="shared" si="8"/>
        <v>0</v>
      </c>
      <c r="AL30" s="40">
        <f t="shared" si="8"/>
        <v>0</v>
      </c>
      <c r="AM30" s="40">
        <f t="shared" si="8"/>
        <v>0</v>
      </c>
      <c r="AN30" s="40">
        <f t="shared" si="8"/>
        <v>0</v>
      </c>
    </row>
    <row r="31" spans="1:40" ht="42" customHeight="1">
      <c r="B31" s="19">
        <v>6</v>
      </c>
      <c r="C31" s="18">
        <f t="shared" si="5"/>
        <v>0</v>
      </c>
      <c r="D31" s="18">
        <f t="shared" ref="D31:AE31" si="20">IF(D8=1,1,0)</f>
        <v>0</v>
      </c>
      <c r="E31" s="18">
        <f t="shared" si="20"/>
        <v>0</v>
      </c>
      <c r="F31" s="18">
        <f t="shared" si="20"/>
        <v>0</v>
      </c>
      <c r="G31" s="18">
        <f t="shared" si="20"/>
        <v>0</v>
      </c>
      <c r="H31" s="18">
        <f t="shared" si="20"/>
        <v>0</v>
      </c>
      <c r="I31" s="18">
        <f t="shared" si="20"/>
        <v>0</v>
      </c>
      <c r="J31" s="18">
        <f t="shared" si="20"/>
        <v>0</v>
      </c>
      <c r="K31" s="18">
        <f t="shared" si="20"/>
        <v>0</v>
      </c>
      <c r="L31" s="18">
        <f t="shared" si="20"/>
        <v>0</v>
      </c>
      <c r="M31" s="18">
        <f t="shared" si="20"/>
        <v>0</v>
      </c>
      <c r="N31" s="18">
        <f t="shared" si="20"/>
        <v>0</v>
      </c>
      <c r="O31" s="18">
        <f t="shared" si="20"/>
        <v>0</v>
      </c>
      <c r="P31" s="18">
        <f t="shared" si="20"/>
        <v>0</v>
      </c>
      <c r="Q31" s="18">
        <f t="shared" si="20"/>
        <v>0</v>
      </c>
      <c r="R31" s="18">
        <f t="shared" si="20"/>
        <v>0</v>
      </c>
      <c r="S31" s="18">
        <f t="shared" si="20"/>
        <v>0</v>
      </c>
      <c r="T31" s="18">
        <f t="shared" si="20"/>
        <v>0</v>
      </c>
      <c r="U31" s="18">
        <f t="shared" si="20"/>
        <v>0</v>
      </c>
      <c r="V31" s="18">
        <f t="shared" si="20"/>
        <v>0</v>
      </c>
      <c r="W31" s="18">
        <f t="shared" si="20"/>
        <v>0</v>
      </c>
      <c r="X31" s="18">
        <f t="shared" si="20"/>
        <v>0</v>
      </c>
      <c r="Y31" s="18">
        <f t="shared" si="20"/>
        <v>0</v>
      </c>
      <c r="Z31" s="18">
        <f t="shared" si="20"/>
        <v>0</v>
      </c>
      <c r="AA31" s="18">
        <f t="shared" si="20"/>
        <v>0</v>
      </c>
      <c r="AB31" s="18">
        <f t="shared" si="20"/>
        <v>0</v>
      </c>
      <c r="AC31" s="18">
        <f t="shared" si="20"/>
        <v>0</v>
      </c>
      <c r="AD31" s="18">
        <f t="shared" si="20"/>
        <v>0</v>
      </c>
      <c r="AE31" s="18">
        <f t="shared" si="20"/>
        <v>0</v>
      </c>
      <c r="AF31" s="18">
        <f t="shared" ref="AF31:AG31" si="21">IF(AF8=1,1,0)</f>
        <v>0</v>
      </c>
      <c r="AG31" s="18">
        <f t="shared" si="21"/>
        <v>0</v>
      </c>
      <c r="AH31" s="40">
        <f t="shared" si="8"/>
        <v>0</v>
      </c>
      <c r="AI31" s="40">
        <f t="shared" si="8"/>
        <v>1</v>
      </c>
      <c r="AJ31" s="40">
        <f t="shared" si="8"/>
        <v>0</v>
      </c>
      <c r="AK31" s="40">
        <f t="shared" si="8"/>
        <v>0</v>
      </c>
      <c r="AL31" s="40">
        <f t="shared" si="8"/>
        <v>0</v>
      </c>
      <c r="AM31" s="40">
        <f t="shared" si="8"/>
        <v>0</v>
      </c>
      <c r="AN31" s="40">
        <f t="shared" si="8"/>
        <v>1</v>
      </c>
    </row>
    <row r="32" spans="1:40" ht="42" customHeight="1">
      <c r="B32" s="19">
        <v>7</v>
      </c>
      <c r="C32" s="18">
        <f t="shared" si="5"/>
        <v>0</v>
      </c>
      <c r="D32" s="18">
        <f t="shared" ref="D32:AE32" si="22">IF(D9=1,1,0)</f>
        <v>0</v>
      </c>
      <c r="E32" s="18">
        <f t="shared" si="22"/>
        <v>0</v>
      </c>
      <c r="F32" s="18">
        <f t="shared" si="22"/>
        <v>0</v>
      </c>
      <c r="G32" s="18">
        <f t="shared" si="22"/>
        <v>0</v>
      </c>
      <c r="H32" s="18">
        <f t="shared" si="22"/>
        <v>0</v>
      </c>
      <c r="I32" s="18">
        <f t="shared" si="22"/>
        <v>0</v>
      </c>
      <c r="J32" s="18">
        <f t="shared" si="22"/>
        <v>0</v>
      </c>
      <c r="K32" s="18">
        <f t="shared" si="22"/>
        <v>0</v>
      </c>
      <c r="L32" s="18">
        <f t="shared" si="22"/>
        <v>0</v>
      </c>
      <c r="M32" s="18">
        <f t="shared" si="22"/>
        <v>0</v>
      </c>
      <c r="N32" s="18">
        <f t="shared" si="22"/>
        <v>0</v>
      </c>
      <c r="O32" s="18">
        <f t="shared" si="22"/>
        <v>0</v>
      </c>
      <c r="P32" s="18">
        <f t="shared" si="22"/>
        <v>0</v>
      </c>
      <c r="Q32" s="18">
        <f t="shared" si="22"/>
        <v>0</v>
      </c>
      <c r="R32" s="18">
        <f t="shared" si="22"/>
        <v>0</v>
      </c>
      <c r="S32" s="18">
        <f t="shared" si="22"/>
        <v>0</v>
      </c>
      <c r="T32" s="18">
        <f t="shared" si="22"/>
        <v>0</v>
      </c>
      <c r="U32" s="18">
        <f t="shared" si="22"/>
        <v>0</v>
      </c>
      <c r="V32" s="18">
        <f t="shared" si="22"/>
        <v>0</v>
      </c>
      <c r="W32" s="18">
        <f t="shared" si="22"/>
        <v>0</v>
      </c>
      <c r="X32" s="18">
        <f t="shared" si="22"/>
        <v>0</v>
      </c>
      <c r="Y32" s="18">
        <f t="shared" si="22"/>
        <v>0</v>
      </c>
      <c r="Z32" s="18">
        <f t="shared" si="22"/>
        <v>0</v>
      </c>
      <c r="AA32" s="18">
        <f t="shared" si="22"/>
        <v>0</v>
      </c>
      <c r="AB32" s="18">
        <f t="shared" si="22"/>
        <v>0</v>
      </c>
      <c r="AC32" s="18">
        <f t="shared" si="22"/>
        <v>0</v>
      </c>
      <c r="AD32" s="18">
        <f t="shared" si="22"/>
        <v>0</v>
      </c>
      <c r="AE32" s="18">
        <f t="shared" si="22"/>
        <v>0</v>
      </c>
      <c r="AF32" s="18">
        <f t="shared" ref="AF32:AG32" si="23">IF(AF9=1,1,0)</f>
        <v>0</v>
      </c>
      <c r="AG32" s="18">
        <f t="shared" si="23"/>
        <v>0</v>
      </c>
      <c r="AH32" s="40">
        <f t="shared" si="8"/>
        <v>0</v>
      </c>
      <c r="AI32" s="40">
        <f t="shared" si="8"/>
        <v>0</v>
      </c>
      <c r="AJ32" s="40">
        <f t="shared" si="8"/>
        <v>0</v>
      </c>
      <c r="AK32" s="40">
        <f t="shared" si="8"/>
        <v>0</v>
      </c>
      <c r="AL32" s="40">
        <f t="shared" si="8"/>
        <v>0</v>
      </c>
      <c r="AM32" s="40">
        <f t="shared" si="8"/>
        <v>0</v>
      </c>
      <c r="AN32" s="40">
        <f t="shared" si="8"/>
        <v>0</v>
      </c>
    </row>
    <row r="33" spans="2:40" ht="42" customHeight="1">
      <c r="B33" s="19">
        <v>8</v>
      </c>
      <c r="C33" s="18">
        <f t="shared" si="5"/>
        <v>0</v>
      </c>
      <c r="D33" s="18">
        <f t="shared" ref="D33:AE33" si="24">IF(D10=1,1,0)</f>
        <v>0</v>
      </c>
      <c r="E33" s="18">
        <f t="shared" si="24"/>
        <v>0</v>
      </c>
      <c r="F33" s="18">
        <f t="shared" si="24"/>
        <v>0</v>
      </c>
      <c r="G33" s="18">
        <f t="shared" si="24"/>
        <v>0</v>
      </c>
      <c r="H33" s="18">
        <f t="shared" si="24"/>
        <v>0</v>
      </c>
      <c r="I33" s="18">
        <f t="shared" si="24"/>
        <v>0</v>
      </c>
      <c r="J33" s="18">
        <f t="shared" si="24"/>
        <v>0</v>
      </c>
      <c r="K33" s="18">
        <f t="shared" si="24"/>
        <v>0</v>
      </c>
      <c r="L33" s="18">
        <f t="shared" si="24"/>
        <v>0</v>
      </c>
      <c r="M33" s="18">
        <f t="shared" si="24"/>
        <v>0</v>
      </c>
      <c r="N33" s="18">
        <f t="shared" si="24"/>
        <v>0</v>
      </c>
      <c r="O33" s="18">
        <f t="shared" si="24"/>
        <v>0</v>
      </c>
      <c r="P33" s="18">
        <f t="shared" si="24"/>
        <v>0</v>
      </c>
      <c r="Q33" s="18">
        <f t="shared" si="24"/>
        <v>0</v>
      </c>
      <c r="R33" s="18">
        <f t="shared" si="24"/>
        <v>0</v>
      </c>
      <c r="S33" s="18">
        <f t="shared" si="24"/>
        <v>0</v>
      </c>
      <c r="T33" s="18">
        <f t="shared" si="24"/>
        <v>0</v>
      </c>
      <c r="U33" s="18">
        <f t="shared" si="24"/>
        <v>0</v>
      </c>
      <c r="V33" s="18">
        <f t="shared" si="24"/>
        <v>0</v>
      </c>
      <c r="W33" s="18">
        <f t="shared" si="24"/>
        <v>0</v>
      </c>
      <c r="X33" s="18">
        <f t="shared" si="24"/>
        <v>0</v>
      </c>
      <c r="Y33" s="18">
        <f t="shared" si="24"/>
        <v>0</v>
      </c>
      <c r="Z33" s="18">
        <f t="shared" si="24"/>
        <v>0</v>
      </c>
      <c r="AA33" s="18">
        <f t="shared" si="24"/>
        <v>0</v>
      </c>
      <c r="AB33" s="18">
        <f t="shared" si="24"/>
        <v>0</v>
      </c>
      <c r="AC33" s="18">
        <f t="shared" si="24"/>
        <v>0</v>
      </c>
      <c r="AD33" s="18">
        <f t="shared" si="24"/>
        <v>0</v>
      </c>
      <c r="AE33" s="18">
        <f t="shared" si="24"/>
        <v>0</v>
      </c>
      <c r="AF33" s="18">
        <f t="shared" ref="AF33:AG33" si="25">IF(AF10=1,1,0)</f>
        <v>0</v>
      </c>
      <c r="AG33" s="18">
        <f t="shared" si="25"/>
        <v>0</v>
      </c>
      <c r="AH33" s="40">
        <f t="shared" si="8"/>
        <v>0</v>
      </c>
      <c r="AI33" s="40">
        <f t="shared" si="8"/>
        <v>0</v>
      </c>
      <c r="AJ33" s="40">
        <f t="shared" si="8"/>
        <v>0</v>
      </c>
      <c r="AK33" s="40">
        <f t="shared" si="8"/>
        <v>0</v>
      </c>
      <c r="AL33" s="40">
        <f t="shared" si="8"/>
        <v>0</v>
      </c>
      <c r="AM33" s="40">
        <f t="shared" si="8"/>
        <v>0</v>
      </c>
      <c r="AN33" s="40">
        <f t="shared" si="8"/>
        <v>0</v>
      </c>
    </row>
    <row r="34" spans="2:40" ht="42" customHeight="1">
      <c r="B34" s="20">
        <v>9</v>
      </c>
      <c r="C34" s="18">
        <f t="shared" si="5"/>
        <v>1</v>
      </c>
      <c r="D34" s="18">
        <f t="shared" ref="D34:AE34" si="26">IF(D11=1,1,0)</f>
        <v>0</v>
      </c>
      <c r="E34" s="18">
        <f t="shared" si="26"/>
        <v>0</v>
      </c>
      <c r="F34" s="18">
        <f t="shared" si="26"/>
        <v>0</v>
      </c>
      <c r="G34" s="18">
        <f t="shared" si="26"/>
        <v>0</v>
      </c>
      <c r="H34" s="18">
        <f t="shared" si="26"/>
        <v>0</v>
      </c>
      <c r="I34" s="18">
        <f t="shared" si="26"/>
        <v>0</v>
      </c>
      <c r="J34" s="18">
        <f t="shared" si="26"/>
        <v>0</v>
      </c>
      <c r="K34" s="18">
        <f t="shared" si="26"/>
        <v>0</v>
      </c>
      <c r="L34" s="18">
        <f t="shared" si="26"/>
        <v>1</v>
      </c>
      <c r="M34" s="18">
        <f t="shared" si="26"/>
        <v>0</v>
      </c>
      <c r="N34" s="18">
        <f t="shared" si="26"/>
        <v>0</v>
      </c>
      <c r="O34" s="18">
        <f t="shared" si="26"/>
        <v>0</v>
      </c>
      <c r="P34" s="18">
        <f t="shared" si="26"/>
        <v>0</v>
      </c>
      <c r="Q34" s="18">
        <f t="shared" si="26"/>
        <v>0</v>
      </c>
      <c r="R34" s="18">
        <f t="shared" si="26"/>
        <v>0</v>
      </c>
      <c r="S34" s="18">
        <f t="shared" si="26"/>
        <v>0</v>
      </c>
      <c r="T34" s="18">
        <f t="shared" si="26"/>
        <v>0</v>
      </c>
      <c r="U34" s="18">
        <f t="shared" si="26"/>
        <v>0</v>
      </c>
      <c r="V34" s="18">
        <f t="shared" si="26"/>
        <v>0</v>
      </c>
      <c r="W34" s="18">
        <f t="shared" si="26"/>
        <v>0</v>
      </c>
      <c r="X34" s="18">
        <f t="shared" si="26"/>
        <v>0</v>
      </c>
      <c r="Y34" s="18">
        <f t="shared" si="26"/>
        <v>0</v>
      </c>
      <c r="Z34" s="18">
        <f t="shared" si="26"/>
        <v>0</v>
      </c>
      <c r="AA34" s="18">
        <f t="shared" si="26"/>
        <v>0</v>
      </c>
      <c r="AB34" s="18">
        <f t="shared" si="26"/>
        <v>0</v>
      </c>
      <c r="AC34" s="18">
        <f t="shared" si="26"/>
        <v>0</v>
      </c>
      <c r="AD34" s="18">
        <f t="shared" si="26"/>
        <v>0</v>
      </c>
      <c r="AE34" s="18">
        <f t="shared" si="26"/>
        <v>0</v>
      </c>
      <c r="AF34" s="18">
        <f t="shared" ref="AF34:AG34" si="27">IF(AF11=1,1,0)</f>
        <v>0</v>
      </c>
      <c r="AG34" s="18">
        <f t="shared" si="27"/>
        <v>0</v>
      </c>
      <c r="AH34" s="40">
        <f>IF('Jan2026'!BL11=1,1,0)</f>
        <v>0</v>
      </c>
      <c r="AI34" s="40">
        <f>IF('Jan2026'!BM11=1,1,0)</f>
        <v>0</v>
      </c>
      <c r="AJ34" s="40">
        <f>IF('Jan2026'!BN11=1,1,0)</f>
        <v>0</v>
      </c>
      <c r="AK34" s="40">
        <f>IF('Jan2026'!BO11=1,1,0)</f>
        <v>0</v>
      </c>
      <c r="AL34" s="40">
        <f>IF('Jan2026'!BP11=1,1,0)</f>
        <v>0</v>
      </c>
      <c r="AM34" s="40">
        <f>IF('Jan2026'!BQ11=1,1,0)</f>
        <v>0</v>
      </c>
      <c r="AN34" s="40">
        <f>IF('Jan2026'!BR11=1,1,0)</f>
        <v>0</v>
      </c>
    </row>
    <row r="35" spans="2:40" ht="42" customHeight="1">
      <c r="B35" s="21">
        <v>10</v>
      </c>
      <c r="C35" s="18">
        <f t="shared" ref="C35:C38" si="28">IF(C12=1,1,0)</f>
        <v>1</v>
      </c>
      <c r="D35" s="18">
        <f t="shared" ref="D35:AE35" si="29">IF(D12=1,1,0)</f>
        <v>0</v>
      </c>
      <c r="E35" s="18">
        <f t="shared" si="29"/>
        <v>0</v>
      </c>
      <c r="F35" s="18">
        <f t="shared" si="29"/>
        <v>0</v>
      </c>
      <c r="G35" s="18">
        <f t="shared" si="29"/>
        <v>0</v>
      </c>
      <c r="H35" s="18">
        <f t="shared" si="29"/>
        <v>1</v>
      </c>
      <c r="I35" s="18">
        <f t="shared" si="29"/>
        <v>0</v>
      </c>
      <c r="J35" s="18">
        <f t="shared" si="29"/>
        <v>0</v>
      </c>
      <c r="K35" s="18">
        <f t="shared" si="29"/>
        <v>0</v>
      </c>
      <c r="L35" s="18">
        <f t="shared" si="29"/>
        <v>0</v>
      </c>
      <c r="M35" s="18">
        <f t="shared" si="29"/>
        <v>0</v>
      </c>
      <c r="N35" s="18">
        <f t="shared" si="29"/>
        <v>0</v>
      </c>
      <c r="O35" s="18">
        <f t="shared" si="29"/>
        <v>0</v>
      </c>
      <c r="P35" s="18">
        <f t="shared" si="29"/>
        <v>0</v>
      </c>
      <c r="Q35" s="18">
        <f t="shared" si="29"/>
        <v>0</v>
      </c>
      <c r="R35" s="18">
        <f t="shared" si="29"/>
        <v>1</v>
      </c>
      <c r="S35" s="18">
        <f t="shared" si="29"/>
        <v>0</v>
      </c>
      <c r="T35" s="18">
        <f t="shared" si="29"/>
        <v>0</v>
      </c>
      <c r="U35" s="18">
        <f t="shared" si="29"/>
        <v>0</v>
      </c>
      <c r="V35" s="18">
        <f t="shared" si="29"/>
        <v>0</v>
      </c>
      <c r="W35" s="18">
        <f t="shared" si="29"/>
        <v>0</v>
      </c>
      <c r="X35" s="18">
        <f t="shared" si="29"/>
        <v>0</v>
      </c>
      <c r="Y35" s="18">
        <f t="shared" si="29"/>
        <v>0</v>
      </c>
      <c r="Z35" s="18">
        <f t="shared" si="29"/>
        <v>0</v>
      </c>
      <c r="AA35" s="18">
        <f t="shared" si="29"/>
        <v>0</v>
      </c>
      <c r="AB35" s="18">
        <f t="shared" si="29"/>
        <v>0</v>
      </c>
      <c r="AC35" s="18">
        <f t="shared" si="29"/>
        <v>1</v>
      </c>
      <c r="AD35" s="18">
        <f t="shared" si="29"/>
        <v>0</v>
      </c>
      <c r="AE35" s="18">
        <f t="shared" si="29"/>
        <v>0</v>
      </c>
      <c r="AF35" s="18">
        <f t="shared" ref="AF35:AN38" si="30">IF(AF12=1,1,0)</f>
        <v>0</v>
      </c>
      <c r="AG35" s="18">
        <f t="shared" si="30"/>
        <v>0</v>
      </c>
      <c r="AH35" s="40">
        <f t="shared" si="30"/>
        <v>0</v>
      </c>
      <c r="AI35" s="40">
        <f t="shared" si="30"/>
        <v>0</v>
      </c>
      <c r="AJ35" s="40">
        <f t="shared" si="30"/>
        <v>0</v>
      </c>
      <c r="AK35" s="40">
        <f t="shared" si="30"/>
        <v>0</v>
      </c>
      <c r="AL35" s="40">
        <f t="shared" si="30"/>
        <v>0</v>
      </c>
      <c r="AM35" s="40">
        <f t="shared" si="30"/>
        <v>1</v>
      </c>
      <c r="AN35" s="40">
        <f t="shared" si="30"/>
        <v>1</v>
      </c>
    </row>
    <row r="36" spans="2:40" ht="42" customHeight="1">
      <c r="B36" s="21">
        <v>11</v>
      </c>
      <c r="C36" s="18">
        <f t="shared" si="28"/>
        <v>0</v>
      </c>
      <c r="D36" s="18">
        <f t="shared" ref="D36:AE36" si="31">IF(D13=1,1,0)</f>
        <v>0</v>
      </c>
      <c r="E36" s="18">
        <f t="shared" si="31"/>
        <v>0</v>
      </c>
      <c r="F36" s="18">
        <f t="shared" si="31"/>
        <v>0</v>
      </c>
      <c r="G36" s="18">
        <f t="shared" si="31"/>
        <v>0</v>
      </c>
      <c r="H36" s="18">
        <f t="shared" si="31"/>
        <v>0</v>
      </c>
      <c r="I36" s="18">
        <f t="shared" si="31"/>
        <v>0</v>
      </c>
      <c r="J36" s="18">
        <f t="shared" si="31"/>
        <v>0</v>
      </c>
      <c r="K36" s="18">
        <f t="shared" si="31"/>
        <v>0</v>
      </c>
      <c r="L36" s="18">
        <f t="shared" si="31"/>
        <v>1</v>
      </c>
      <c r="M36" s="18">
        <f t="shared" si="31"/>
        <v>0</v>
      </c>
      <c r="N36" s="18">
        <f t="shared" si="31"/>
        <v>0</v>
      </c>
      <c r="O36" s="18">
        <f t="shared" si="31"/>
        <v>0</v>
      </c>
      <c r="P36" s="18">
        <f t="shared" si="31"/>
        <v>0</v>
      </c>
      <c r="Q36" s="18">
        <f t="shared" si="31"/>
        <v>0</v>
      </c>
      <c r="R36" s="18">
        <f t="shared" si="31"/>
        <v>0</v>
      </c>
      <c r="S36" s="18">
        <f t="shared" si="31"/>
        <v>0</v>
      </c>
      <c r="T36" s="18">
        <f t="shared" si="31"/>
        <v>0</v>
      </c>
      <c r="U36" s="18">
        <f t="shared" si="31"/>
        <v>0</v>
      </c>
      <c r="V36" s="18">
        <f t="shared" si="31"/>
        <v>0</v>
      </c>
      <c r="W36" s="18">
        <f t="shared" si="31"/>
        <v>0</v>
      </c>
      <c r="X36" s="18">
        <f t="shared" si="31"/>
        <v>0</v>
      </c>
      <c r="Y36" s="18">
        <f t="shared" si="31"/>
        <v>0</v>
      </c>
      <c r="Z36" s="18">
        <f t="shared" si="31"/>
        <v>0</v>
      </c>
      <c r="AA36" s="18">
        <f t="shared" si="31"/>
        <v>0</v>
      </c>
      <c r="AB36" s="18">
        <f t="shared" si="31"/>
        <v>0</v>
      </c>
      <c r="AC36" s="18">
        <f t="shared" si="31"/>
        <v>0</v>
      </c>
      <c r="AD36" s="18">
        <f t="shared" si="31"/>
        <v>0</v>
      </c>
      <c r="AE36" s="18">
        <f t="shared" si="31"/>
        <v>0</v>
      </c>
      <c r="AF36" s="18">
        <f t="shared" ref="AF36:AG36" si="32">IF(AF13=1,1,0)</f>
        <v>0</v>
      </c>
      <c r="AG36" s="18">
        <f t="shared" si="32"/>
        <v>0</v>
      </c>
      <c r="AH36" s="40">
        <f t="shared" si="30"/>
        <v>0</v>
      </c>
      <c r="AI36" s="40">
        <f t="shared" si="30"/>
        <v>0</v>
      </c>
      <c r="AJ36" s="40">
        <f t="shared" si="30"/>
        <v>0</v>
      </c>
      <c r="AK36" s="40">
        <f t="shared" si="30"/>
        <v>0</v>
      </c>
      <c r="AL36" s="40">
        <f t="shared" si="30"/>
        <v>0</v>
      </c>
      <c r="AM36" s="40">
        <f t="shared" si="30"/>
        <v>0</v>
      </c>
      <c r="AN36" s="40">
        <f t="shared" si="30"/>
        <v>1</v>
      </c>
    </row>
    <row r="37" spans="2:40" ht="42" customHeight="1">
      <c r="B37" s="19">
        <v>12</v>
      </c>
      <c r="C37" s="18">
        <f t="shared" si="28"/>
        <v>0</v>
      </c>
      <c r="D37" s="18">
        <f t="shared" ref="D37:AE37" si="33">IF(D14=1,1,0)</f>
        <v>0</v>
      </c>
      <c r="E37" s="18">
        <f t="shared" si="33"/>
        <v>0</v>
      </c>
      <c r="F37" s="18">
        <f t="shared" si="33"/>
        <v>0</v>
      </c>
      <c r="G37" s="18">
        <f t="shared" si="33"/>
        <v>0</v>
      </c>
      <c r="H37" s="18">
        <f t="shared" si="33"/>
        <v>0</v>
      </c>
      <c r="I37" s="18">
        <f t="shared" si="33"/>
        <v>0</v>
      </c>
      <c r="J37" s="18">
        <f t="shared" si="33"/>
        <v>0</v>
      </c>
      <c r="K37" s="18">
        <f t="shared" si="33"/>
        <v>0</v>
      </c>
      <c r="L37" s="18">
        <f t="shared" si="33"/>
        <v>0</v>
      </c>
      <c r="M37" s="18">
        <f t="shared" si="33"/>
        <v>0</v>
      </c>
      <c r="N37" s="18">
        <f t="shared" si="33"/>
        <v>0</v>
      </c>
      <c r="O37" s="18">
        <f t="shared" si="33"/>
        <v>0</v>
      </c>
      <c r="P37" s="18">
        <f t="shared" si="33"/>
        <v>0</v>
      </c>
      <c r="Q37" s="18">
        <f t="shared" si="33"/>
        <v>0</v>
      </c>
      <c r="R37" s="18">
        <f t="shared" si="33"/>
        <v>0</v>
      </c>
      <c r="S37" s="18">
        <f t="shared" si="33"/>
        <v>0</v>
      </c>
      <c r="T37" s="18">
        <f t="shared" si="33"/>
        <v>0</v>
      </c>
      <c r="U37" s="18">
        <f t="shared" si="33"/>
        <v>0</v>
      </c>
      <c r="V37" s="18">
        <f t="shared" si="33"/>
        <v>0</v>
      </c>
      <c r="W37" s="18">
        <f t="shared" si="33"/>
        <v>0</v>
      </c>
      <c r="X37" s="18">
        <f t="shared" si="33"/>
        <v>0</v>
      </c>
      <c r="Y37" s="18">
        <f t="shared" si="33"/>
        <v>0</v>
      </c>
      <c r="Z37" s="18">
        <f t="shared" si="33"/>
        <v>0</v>
      </c>
      <c r="AA37" s="18">
        <f t="shared" si="33"/>
        <v>0</v>
      </c>
      <c r="AB37" s="18">
        <f t="shared" si="33"/>
        <v>0</v>
      </c>
      <c r="AC37" s="18">
        <f t="shared" si="33"/>
        <v>0</v>
      </c>
      <c r="AD37" s="18">
        <f t="shared" si="33"/>
        <v>0</v>
      </c>
      <c r="AE37" s="18">
        <f t="shared" si="33"/>
        <v>0</v>
      </c>
      <c r="AF37" s="18">
        <f t="shared" ref="AF37:AG37" si="34">IF(AF14=1,1,0)</f>
        <v>0</v>
      </c>
      <c r="AG37" s="18">
        <f t="shared" si="34"/>
        <v>0</v>
      </c>
      <c r="AH37" s="40">
        <f t="shared" si="30"/>
        <v>1</v>
      </c>
      <c r="AI37" s="40">
        <f t="shared" si="30"/>
        <v>1</v>
      </c>
      <c r="AJ37" s="40">
        <f t="shared" si="30"/>
        <v>1</v>
      </c>
      <c r="AK37" s="40">
        <f t="shared" si="30"/>
        <v>1</v>
      </c>
      <c r="AL37" s="40">
        <f t="shared" si="30"/>
        <v>1</v>
      </c>
      <c r="AM37" s="40">
        <f t="shared" si="30"/>
        <v>1</v>
      </c>
      <c r="AN37" s="40">
        <f t="shared" si="30"/>
        <v>1</v>
      </c>
    </row>
    <row r="38" spans="2:40" ht="42" customHeight="1">
      <c r="B38" s="22" t="s">
        <v>111</v>
      </c>
      <c r="C38" s="18">
        <f t="shared" si="28"/>
        <v>0</v>
      </c>
      <c r="D38" s="18">
        <f t="shared" ref="D38:AE38" si="35">IF(D15=1,1,0)</f>
        <v>0</v>
      </c>
      <c r="E38" s="18">
        <f t="shared" si="35"/>
        <v>0</v>
      </c>
      <c r="F38" s="18">
        <f t="shared" si="35"/>
        <v>0</v>
      </c>
      <c r="G38" s="18">
        <f t="shared" si="35"/>
        <v>0</v>
      </c>
      <c r="H38" s="18">
        <f t="shared" si="35"/>
        <v>0</v>
      </c>
      <c r="I38" s="18">
        <f t="shared" si="35"/>
        <v>0</v>
      </c>
      <c r="J38" s="18">
        <f t="shared" si="35"/>
        <v>0</v>
      </c>
      <c r="K38" s="18">
        <f t="shared" si="35"/>
        <v>0</v>
      </c>
      <c r="L38" s="18">
        <f t="shared" si="35"/>
        <v>0</v>
      </c>
      <c r="M38" s="18">
        <f t="shared" si="35"/>
        <v>0</v>
      </c>
      <c r="N38" s="18">
        <f t="shared" si="35"/>
        <v>0</v>
      </c>
      <c r="O38" s="18">
        <f t="shared" si="35"/>
        <v>0</v>
      </c>
      <c r="P38" s="18">
        <f t="shared" si="35"/>
        <v>0</v>
      </c>
      <c r="Q38" s="18">
        <f t="shared" si="35"/>
        <v>0</v>
      </c>
      <c r="R38" s="18">
        <f t="shared" si="35"/>
        <v>0</v>
      </c>
      <c r="S38" s="18">
        <f t="shared" si="35"/>
        <v>0</v>
      </c>
      <c r="T38" s="18">
        <f t="shared" si="35"/>
        <v>0</v>
      </c>
      <c r="U38" s="18">
        <f t="shared" si="35"/>
        <v>0</v>
      </c>
      <c r="V38" s="18">
        <f t="shared" si="35"/>
        <v>0</v>
      </c>
      <c r="W38" s="18">
        <f t="shared" si="35"/>
        <v>0</v>
      </c>
      <c r="X38" s="18">
        <f t="shared" si="35"/>
        <v>0</v>
      </c>
      <c r="Y38" s="18">
        <f t="shared" si="35"/>
        <v>0</v>
      </c>
      <c r="Z38" s="18">
        <f t="shared" si="35"/>
        <v>0</v>
      </c>
      <c r="AA38" s="18">
        <f t="shared" si="35"/>
        <v>0</v>
      </c>
      <c r="AB38" s="18">
        <f t="shared" si="35"/>
        <v>0</v>
      </c>
      <c r="AC38" s="18">
        <f t="shared" si="35"/>
        <v>0</v>
      </c>
      <c r="AD38" s="18">
        <f t="shared" si="35"/>
        <v>0</v>
      </c>
      <c r="AE38" s="18">
        <f t="shared" si="35"/>
        <v>0</v>
      </c>
      <c r="AF38" s="18">
        <f t="shared" ref="AF38:AG38" si="36">IF(AF15=1,1,0)</f>
        <v>0</v>
      </c>
      <c r="AG38" s="18">
        <f t="shared" si="36"/>
        <v>0</v>
      </c>
      <c r="AH38" s="40">
        <f t="shared" si="30"/>
        <v>0</v>
      </c>
      <c r="AI38" s="40">
        <f t="shared" si="30"/>
        <v>1</v>
      </c>
      <c r="AJ38" s="40">
        <f t="shared" si="30"/>
        <v>1</v>
      </c>
      <c r="AK38" s="40">
        <f t="shared" si="30"/>
        <v>0</v>
      </c>
      <c r="AL38" s="40">
        <f t="shared" si="30"/>
        <v>0</v>
      </c>
      <c r="AM38" s="40">
        <f t="shared" si="30"/>
        <v>0</v>
      </c>
      <c r="AN38" s="40">
        <f t="shared" si="30"/>
        <v>0</v>
      </c>
    </row>
  </sheetData>
  <mergeCells count="115">
    <mergeCell ref="AI12:AL12"/>
    <mergeCell ref="AH13:AM13"/>
    <mergeCell ref="AI6:AK6"/>
    <mergeCell ref="AJ7:AN7"/>
    <mergeCell ref="AJ8:AM8"/>
    <mergeCell ref="AH9:AJ9"/>
    <mergeCell ref="AK9:AM9"/>
    <mergeCell ref="AC14:AG14"/>
    <mergeCell ref="AC8:AE8"/>
    <mergeCell ref="AG12:AH12"/>
    <mergeCell ref="D15:F15"/>
    <mergeCell ref="G15:H15"/>
    <mergeCell ref="C13:E13"/>
    <mergeCell ref="AI3:AK3"/>
    <mergeCell ref="AL3:AN3"/>
    <mergeCell ref="AH4:AK4"/>
    <mergeCell ref="AI5:AK5"/>
    <mergeCell ref="AL5:AN5"/>
    <mergeCell ref="AF6:AG6"/>
    <mergeCell ref="T13:AG13"/>
    <mergeCell ref="AF8:AG8"/>
    <mergeCell ref="AA9:AF9"/>
    <mergeCell ref="AA10:AD10"/>
    <mergeCell ref="AE10:AG10"/>
    <mergeCell ref="U7:Y7"/>
    <mergeCell ref="AC3:AE3"/>
    <mergeCell ref="Y4:Z4"/>
    <mergeCell ref="W6:Y6"/>
    <mergeCell ref="Z6:AE6"/>
    <mergeCell ref="AK15:AN15"/>
    <mergeCell ref="AF15:AH15"/>
    <mergeCell ref="AI10:AK10"/>
    <mergeCell ref="AH11:AJ11"/>
    <mergeCell ref="AK11:AM11"/>
    <mergeCell ref="J8:M8"/>
    <mergeCell ref="X12:AB12"/>
    <mergeCell ref="AA11:AC11"/>
    <mergeCell ref="W9:Z9"/>
    <mergeCell ref="X14:Z14"/>
    <mergeCell ref="C8:D8"/>
    <mergeCell ref="N9:R9"/>
    <mergeCell ref="E8:I8"/>
    <mergeCell ref="N8:P8"/>
    <mergeCell ref="C5:E5"/>
    <mergeCell ref="C6:E6"/>
    <mergeCell ref="F6:G6"/>
    <mergeCell ref="R5:T5"/>
    <mergeCell ref="U5:Y5"/>
    <mergeCell ref="E7:G7"/>
    <mergeCell ref="O15:P15"/>
    <mergeCell ref="J15:M15"/>
    <mergeCell ref="O12:Q12"/>
    <mergeCell ref="L12:N12"/>
    <mergeCell ref="I10:K12"/>
    <mergeCell ref="Q15:U15"/>
    <mergeCell ref="M11:Y11"/>
    <mergeCell ref="Y10:Z10"/>
    <mergeCell ref="P10:T10"/>
    <mergeCell ref="T14:W14"/>
    <mergeCell ref="V15:W15"/>
    <mergeCell ref="K9:M9"/>
    <mergeCell ref="H7:J7"/>
    <mergeCell ref="F13:H13"/>
    <mergeCell ref="M13:Q13"/>
    <mergeCell ref="M14:S14"/>
    <mergeCell ref="E14:H14"/>
    <mergeCell ref="Q7:T8"/>
    <mergeCell ref="U3:X4"/>
    <mergeCell ref="E10:H10"/>
    <mergeCell ref="L10:O10"/>
    <mergeCell ref="R13:S13"/>
    <mergeCell ref="G11:H11"/>
    <mergeCell ref="V10:X10"/>
    <mergeCell ref="I13:K13"/>
    <mergeCell ref="D11:F11"/>
    <mergeCell ref="C10:D10"/>
    <mergeCell ref="C9:E9"/>
    <mergeCell ref="C3:E4"/>
    <mergeCell ref="F4:G4"/>
    <mergeCell ref="O4:Q4"/>
    <mergeCell ref="H6:J6"/>
    <mergeCell ref="F3:I3"/>
    <mergeCell ref="K6:L6"/>
    <mergeCell ref="J3:L3"/>
    <mergeCell ref="H4:J4"/>
    <mergeCell ref="Q6:S6"/>
    <mergeCell ref="M6:P6"/>
    <mergeCell ref="P3:T3"/>
    <mergeCell ref="R4:T4"/>
    <mergeCell ref="L4:N4"/>
    <mergeCell ref="T6:V6"/>
    <mergeCell ref="AF3:AG3"/>
    <mergeCell ref="I14:K14"/>
    <mergeCell ref="C7:D7"/>
    <mergeCell ref="K7:P7"/>
    <mergeCell ref="X15:AC15"/>
    <mergeCell ref="AD15:AE15"/>
    <mergeCell ref="AA14:AB14"/>
    <mergeCell ref="F5:I5"/>
    <mergeCell ref="S9:U9"/>
    <mergeCell ref="Y3:AA3"/>
    <mergeCell ref="AA4:AC4"/>
    <mergeCell ref="V8:Y8"/>
    <mergeCell ref="AA7:AG7"/>
    <mergeCell ref="Z8:AB8"/>
    <mergeCell ref="AD11:AF12"/>
    <mergeCell ref="S12:W12"/>
    <mergeCell ref="F9:I9"/>
    <mergeCell ref="D12:G12"/>
    <mergeCell ref="J5:N5"/>
    <mergeCell ref="M3:O3"/>
    <mergeCell ref="AD4:AF4"/>
    <mergeCell ref="O5:Q5"/>
    <mergeCell ref="AA5:AE5"/>
    <mergeCell ref="AF5:AG5"/>
  </mergeCells>
  <conditionalFormatting sqref="C17:AG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:AN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38EA-B1B5-4AE6-AA7C-51B7348D0262}">
  <sheetPr>
    <tabColor theme="4" tint="0.59999389629810485"/>
  </sheetPr>
  <dimension ref="A1:AD38"/>
  <sheetViews>
    <sheetView zoomScale="40" zoomScaleNormal="40" workbookViewId="0">
      <pane xSplit="2" ySplit="2" topLeftCell="AB15" activePane="bottomRight" state="frozen"/>
      <selection pane="bottomRight" activeCell="AB15" sqref="AB15:AD1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27.42578125" style="40" bestFit="1" customWidth="1"/>
    <col min="3" max="30" width="21.5703125" style="26" customWidth="1"/>
    <col min="31" max="16384" width="8.7109375" style="26"/>
  </cols>
  <sheetData>
    <row r="1" spans="1:30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</row>
    <row r="2" spans="1:30" ht="27.75" customHeight="1">
      <c r="A2" s="27"/>
      <c r="B2" s="27"/>
      <c r="C2" s="31" t="s">
        <v>3</v>
      </c>
      <c r="D2" s="28" t="s">
        <v>4</v>
      </c>
      <c r="E2" s="28" t="s">
        <v>5</v>
      </c>
      <c r="F2" s="29" t="s">
        <v>6</v>
      </c>
      <c r="G2" s="52" t="s">
        <v>7</v>
      </c>
      <c r="H2" s="52" t="s">
        <v>8</v>
      </c>
      <c r="I2" s="50" t="s">
        <v>2</v>
      </c>
      <c r="J2" s="51" t="s">
        <v>3</v>
      </c>
      <c r="K2" s="52" t="s">
        <v>4</v>
      </c>
      <c r="L2" s="52" t="s">
        <v>5</v>
      </c>
      <c r="M2" s="53" t="s">
        <v>6</v>
      </c>
      <c r="N2" s="52" t="s">
        <v>7</v>
      </c>
      <c r="O2" s="28" t="s">
        <v>8</v>
      </c>
      <c r="P2" s="30" t="s">
        <v>2</v>
      </c>
      <c r="Q2" s="31" t="s">
        <v>3</v>
      </c>
      <c r="R2" s="28" t="s">
        <v>4</v>
      </c>
      <c r="S2" s="28" t="s">
        <v>5</v>
      </c>
      <c r="T2" s="29" t="s">
        <v>6</v>
      </c>
      <c r="U2" s="28" t="s">
        <v>7</v>
      </c>
      <c r="V2" s="28" t="s">
        <v>8</v>
      </c>
      <c r="W2" s="30" t="s">
        <v>2</v>
      </c>
      <c r="X2" s="31" t="s">
        <v>3</v>
      </c>
      <c r="Y2" s="28" t="s">
        <v>4</v>
      </c>
      <c r="Z2" s="28" t="s">
        <v>5</v>
      </c>
      <c r="AA2" s="29" t="s">
        <v>6</v>
      </c>
      <c r="AB2" s="28" t="s">
        <v>7</v>
      </c>
      <c r="AC2" s="28" t="s">
        <v>8</v>
      </c>
      <c r="AD2" s="30" t="s">
        <v>2</v>
      </c>
    </row>
    <row r="3" spans="1:30" ht="85.5" customHeight="1">
      <c r="A3" s="32">
        <v>1</v>
      </c>
      <c r="B3" s="33" t="s">
        <v>9</v>
      </c>
      <c r="C3" s="192" t="s">
        <v>232</v>
      </c>
      <c r="D3" s="362" t="s">
        <v>233</v>
      </c>
      <c r="E3" s="362"/>
      <c r="F3" s="215"/>
      <c r="G3" s="551" t="s">
        <v>234</v>
      </c>
      <c r="H3" s="551"/>
      <c r="I3" s="551"/>
      <c r="J3" s="57"/>
      <c r="K3" s="362" t="s">
        <v>338</v>
      </c>
      <c r="L3" s="362"/>
      <c r="M3" s="362"/>
      <c r="N3" s="362"/>
      <c r="O3" s="360" t="s">
        <v>339</v>
      </c>
      <c r="P3" s="401"/>
      <c r="Q3" s="241"/>
      <c r="R3" s="476" t="s">
        <v>340</v>
      </c>
      <c r="S3" s="362"/>
      <c r="T3" s="362"/>
      <c r="U3" s="411" t="s">
        <v>341</v>
      </c>
      <c r="V3" s="549"/>
      <c r="W3" s="550"/>
      <c r="X3" s="537" t="s">
        <v>342</v>
      </c>
      <c r="Y3" s="401"/>
      <c r="Z3" s="538"/>
      <c r="AA3" s="385" t="s">
        <v>343</v>
      </c>
      <c r="AB3" s="283"/>
      <c r="AC3" s="287"/>
      <c r="AD3" s="23">
        <v>1</v>
      </c>
    </row>
    <row r="4" spans="1:30" ht="85.5" customHeight="1">
      <c r="A4" s="34">
        <v>2</v>
      </c>
      <c r="B4" s="33" t="s">
        <v>9</v>
      </c>
      <c r="C4" s="215" t="s">
        <v>243</v>
      </c>
      <c r="D4" s="279"/>
      <c r="E4" s="279"/>
      <c r="F4" s="279"/>
      <c r="G4" s="349" t="s">
        <v>344</v>
      </c>
      <c r="H4" s="349"/>
      <c r="I4" s="349"/>
      <c r="J4" s="396"/>
      <c r="K4" s="476"/>
      <c r="L4" s="476"/>
      <c r="M4" s="476"/>
      <c r="N4" s="476"/>
      <c r="O4" s="113">
        <v>1</v>
      </c>
      <c r="P4" s="376" t="s">
        <v>345</v>
      </c>
      <c r="Q4" s="251"/>
      <c r="R4" s="404"/>
      <c r="S4" s="465" t="s">
        <v>346</v>
      </c>
      <c r="T4" s="466"/>
      <c r="U4" s="546" t="s">
        <v>347</v>
      </c>
      <c r="V4" s="547"/>
      <c r="W4" s="548"/>
      <c r="X4" s="254"/>
      <c r="Y4" s="255"/>
      <c r="Z4" s="371"/>
      <c r="AA4" s="381" t="s">
        <v>348</v>
      </c>
      <c r="AB4" s="386"/>
      <c r="AC4" s="386"/>
      <c r="AD4" s="297"/>
    </row>
    <row r="5" spans="1:30" ht="108" customHeight="1">
      <c r="A5" s="34">
        <v>3</v>
      </c>
      <c r="B5" s="33" t="s">
        <v>29</v>
      </c>
      <c r="C5" s="183" t="s">
        <v>251</v>
      </c>
      <c r="D5" s="362" t="s">
        <v>252</v>
      </c>
      <c r="E5" s="362"/>
      <c r="F5" s="362"/>
      <c r="G5" s="252" t="s">
        <v>253</v>
      </c>
      <c r="H5" s="252"/>
      <c r="I5" s="252"/>
      <c r="J5" s="424" t="s">
        <v>349</v>
      </c>
      <c r="K5" s="460"/>
      <c r="L5" s="460"/>
      <c r="M5" s="376" t="s">
        <v>350</v>
      </c>
      <c r="N5" s="251"/>
      <c r="O5" s="376" t="s">
        <v>350</v>
      </c>
      <c r="P5" s="252"/>
      <c r="Q5" s="377"/>
      <c r="R5" s="114">
        <v>1</v>
      </c>
      <c r="S5" s="411" t="s">
        <v>351</v>
      </c>
      <c r="T5" s="441"/>
      <c r="U5" s="546" t="s">
        <v>352</v>
      </c>
      <c r="V5" s="547"/>
      <c r="W5" s="548"/>
      <c r="X5" s="381" t="s">
        <v>353</v>
      </c>
      <c r="Y5" s="386"/>
      <c r="Z5" s="376" t="s">
        <v>354</v>
      </c>
      <c r="AA5" s="251"/>
      <c r="AB5" s="251"/>
      <c r="AC5" s="404"/>
      <c r="AD5" s="184" t="s">
        <v>355</v>
      </c>
    </row>
    <row r="6" spans="1:30" ht="108" customHeight="1">
      <c r="A6" s="34">
        <v>4</v>
      </c>
      <c r="B6" s="35" t="s">
        <v>37</v>
      </c>
      <c r="C6" s="197" t="s">
        <v>262</v>
      </c>
      <c r="D6" s="397" t="s">
        <v>263</v>
      </c>
      <c r="E6" s="475"/>
      <c r="F6" s="456"/>
      <c r="G6" s="537" t="s">
        <v>356</v>
      </c>
      <c r="H6" s="401"/>
      <c r="I6" s="401"/>
      <c r="J6" s="371"/>
      <c r="K6" s="370" t="s">
        <v>357</v>
      </c>
      <c r="L6" s="246"/>
      <c r="M6" s="246"/>
      <c r="N6" s="371"/>
      <c r="O6" s="370" t="s">
        <v>358</v>
      </c>
      <c r="P6" s="246"/>
      <c r="Q6" s="255"/>
      <c r="R6" s="432"/>
      <c r="S6" s="539" t="s">
        <v>359</v>
      </c>
      <c r="T6" s="259"/>
      <c r="U6" s="521"/>
      <c r="V6" s="545" t="s">
        <v>360</v>
      </c>
      <c r="W6" s="509"/>
      <c r="X6" s="424" t="s">
        <v>342</v>
      </c>
      <c r="Y6" s="460"/>
      <c r="Z6" s="509"/>
      <c r="AA6" s="424" t="s">
        <v>361</v>
      </c>
      <c r="AB6" s="461"/>
      <c r="AC6" s="255" t="s">
        <v>362</v>
      </c>
      <c r="AD6" s="225"/>
    </row>
    <row r="7" spans="1:30" ht="85.5" customHeight="1">
      <c r="A7" s="34">
        <v>5</v>
      </c>
      <c r="B7" s="33" t="s">
        <v>37</v>
      </c>
      <c r="C7" s="381" t="s">
        <v>363</v>
      </c>
      <c r="D7" s="386"/>
      <c r="E7" s="424" t="s">
        <v>270</v>
      </c>
      <c r="F7" s="425"/>
      <c r="G7" s="425"/>
      <c r="H7" s="425"/>
      <c r="I7" s="426"/>
      <c r="J7" s="401" t="s">
        <v>364</v>
      </c>
      <c r="K7" s="401"/>
      <c r="L7" s="401"/>
      <c r="M7" s="241"/>
      <c r="N7" s="251" t="s">
        <v>365</v>
      </c>
      <c r="O7" s="251"/>
      <c r="P7" s="404"/>
      <c r="Q7" s="388" t="s">
        <v>366</v>
      </c>
      <c r="R7" s="279"/>
      <c r="S7" s="124" t="s">
        <v>367</v>
      </c>
      <c r="T7" s="424" t="s">
        <v>368</v>
      </c>
      <c r="U7" s="460"/>
      <c r="V7" s="460"/>
      <c r="W7" s="460"/>
      <c r="X7" s="509"/>
      <c r="Y7" s="125" t="s">
        <v>369</v>
      </c>
      <c r="Z7" s="539" t="s">
        <v>370</v>
      </c>
      <c r="AA7" s="259"/>
      <c r="AB7" s="521"/>
      <c r="AC7" s="216" t="s">
        <v>371</v>
      </c>
      <c r="AD7" s="217"/>
    </row>
    <row r="8" spans="1:30" ht="103.35" customHeight="1">
      <c r="A8" s="34">
        <v>6</v>
      </c>
      <c r="B8" s="35" t="s">
        <v>9</v>
      </c>
      <c r="C8" s="192" t="s">
        <v>277</v>
      </c>
      <c r="D8" s="98">
        <v>1</v>
      </c>
      <c r="E8" s="528" t="s">
        <v>278</v>
      </c>
      <c r="F8" s="529"/>
      <c r="G8" s="529"/>
      <c r="H8" s="530"/>
      <c r="I8" s="110">
        <v>1</v>
      </c>
      <c r="J8" s="402"/>
      <c r="K8" s="252"/>
      <c r="L8" s="252"/>
      <c r="M8" s="377"/>
      <c r="N8" s="252" t="s">
        <v>372</v>
      </c>
      <c r="O8" s="252"/>
      <c r="P8" s="377"/>
      <c r="Q8" s="389" t="s">
        <v>373</v>
      </c>
      <c r="R8" s="282"/>
      <c r="S8" s="283"/>
      <c r="T8" s="402" t="s">
        <v>374</v>
      </c>
      <c r="U8" s="252"/>
      <c r="V8" s="251"/>
      <c r="W8" s="404"/>
      <c r="X8" s="401" t="s">
        <v>342</v>
      </c>
      <c r="Y8" s="401"/>
      <c r="Z8" s="401"/>
      <c r="AA8" s="424" t="s">
        <v>375</v>
      </c>
      <c r="AB8" s="460"/>
      <c r="AC8" s="460"/>
      <c r="AD8" s="461"/>
    </row>
    <row r="9" spans="1:30" ht="112.5" customHeight="1">
      <c r="A9" s="34">
        <v>7</v>
      </c>
      <c r="B9" s="33" t="s">
        <v>9</v>
      </c>
      <c r="C9" s="258" t="s">
        <v>287</v>
      </c>
      <c r="D9" s="259"/>
      <c r="E9" s="522"/>
      <c r="F9" s="552" t="s">
        <v>288</v>
      </c>
      <c r="G9" s="553"/>
      <c r="H9" s="553"/>
      <c r="I9" s="542" t="s">
        <v>376</v>
      </c>
      <c r="J9" s="543"/>
      <c r="K9" s="543"/>
      <c r="L9" s="544"/>
      <c r="M9" s="255" t="s">
        <v>377</v>
      </c>
      <c r="N9" s="255"/>
      <c r="O9" s="298"/>
      <c r="P9" s="385" t="s">
        <v>378</v>
      </c>
      <c r="Q9" s="283"/>
      <c r="R9" s="287"/>
      <c r="S9" s="110">
        <v>1</v>
      </c>
      <c r="T9" s="402" t="s">
        <v>379</v>
      </c>
      <c r="U9" s="252"/>
      <c r="V9" s="377"/>
      <c r="W9" s="115">
        <v>1</v>
      </c>
      <c r="X9" s="402"/>
      <c r="Y9" s="252"/>
      <c r="Z9" s="377"/>
      <c r="AA9" s="114">
        <v>1</v>
      </c>
      <c r="AB9" s="370" t="s">
        <v>380</v>
      </c>
      <c r="AC9" s="246"/>
      <c r="AD9" s="371"/>
    </row>
    <row r="10" spans="1:30" ht="85.5" customHeight="1">
      <c r="A10" s="34">
        <v>8</v>
      </c>
      <c r="B10" s="35" t="s">
        <v>9</v>
      </c>
      <c r="C10" s="195" t="s">
        <v>296</v>
      </c>
      <c r="D10" s="424" t="s">
        <v>297</v>
      </c>
      <c r="E10" s="460"/>
      <c r="F10" s="461"/>
      <c r="G10" s="383" t="s">
        <v>381</v>
      </c>
      <c r="H10" s="383"/>
      <c r="I10" s="540"/>
      <c r="J10" s="541"/>
      <c r="K10" s="255" t="s">
        <v>382</v>
      </c>
      <c r="L10" s="255"/>
      <c r="M10" s="279"/>
      <c r="N10" s="279"/>
      <c r="O10" s="279"/>
      <c r="P10" s="279"/>
      <c r="Q10" s="225"/>
      <c r="R10" s="103">
        <v>1</v>
      </c>
      <c r="S10" s="362" t="s">
        <v>383</v>
      </c>
      <c r="T10" s="533"/>
      <c r="U10" s="533"/>
      <c r="V10" s="533" t="s">
        <v>384</v>
      </c>
      <c r="W10" s="362"/>
      <c r="X10" s="533"/>
      <c r="Y10" s="533"/>
      <c r="Z10" s="533"/>
      <c r="AA10" s="57">
        <v>1</v>
      </c>
      <c r="AB10" s="254"/>
      <c r="AC10" s="255"/>
      <c r="AD10" s="298"/>
    </row>
    <row r="11" spans="1:30" ht="85.5" customHeight="1">
      <c r="A11" s="34">
        <v>9</v>
      </c>
      <c r="B11" s="35" t="s">
        <v>29</v>
      </c>
      <c r="C11" s="376" t="s">
        <v>304</v>
      </c>
      <c r="D11" s="246"/>
      <c r="E11" s="247"/>
      <c r="F11" s="285" t="s">
        <v>305</v>
      </c>
      <c r="G11" s="259"/>
      <c r="H11" s="522"/>
      <c r="I11" s="231" t="s">
        <v>385</v>
      </c>
      <c r="J11" s="394"/>
      <c r="K11" s="539" t="s">
        <v>386</v>
      </c>
      <c r="L11" s="283"/>
      <c r="M11" s="283"/>
      <c r="N11" s="287"/>
      <c r="O11" s="215" t="s">
        <v>387</v>
      </c>
      <c r="P11" s="279"/>
      <c r="Q11" s="225"/>
      <c r="R11" s="57">
        <v>1</v>
      </c>
      <c r="S11" s="281" t="s">
        <v>388</v>
      </c>
      <c r="T11" s="297"/>
      <c r="U11" s="23">
        <v>1</v>
      </c>
      <c r="V11" s="524" t="s">
        <v>389</v>
      </c>
      <c r="W11" s="525"/>
      <c r="X11" s="525"/>
      <c r="Y11" s="526"/>
      <c r="Z11" s="23" t="s">
        <v>390</v>
      </c>
      <c r="AA11" s="215" t="s">
        <v>391</v>
      </c>
      <c r="AB11" s="279"/>
      <c r="AC11" s="225"/>
      <c r="AD11" s="194" t="s">
        <v>392</v>
      </c>
    </row>
    <row r="12" spans="1:30" ht="85.5" customHeight="1">
      <c r="A12" s="34">
        <v>10</v>
      </c>
      <c r="B12" s="33" t="s">
        <v>37</v>
      </c>
      <c r="C12" s="112">
        <v>1</v>
      </c>
      <c r="D12" s="376" t="s">
        <v>312</v>
      </c>
      <c r="E12" s="251"/>
      <c r="F12" s="251"/>
      <c r="G12" s="251"/>
      <c r="H12" s="376" t="s">
        <v>393</v>
      </c>
      <c r="I12" s="251"/>
      <c r="J12" s="251"/>
      <c r="K12" s="404"/>
      <c r="L12" s="70">
        <v>1</v>
      </c>
      <c r="M12" s="57">
        <v>1</v>
      </c>
      <c r="N12" s="215" t="s">
        <v>394</v>
      </c>
      <c r="O12" s="279"/>
      <c r="P12" s="279"/>
      <c r="Q12" s="225"/>
      <c r="R12" s="381" t="s">
        <v>395</v>
      </c>
      <c r="S12" s="531"/>
      <c r="T12" s="531"/>
      <c r="U12" s="532"/>
      <c r="V12" s="381" t="s">
        <v>396</v>
      </c>
      <c r="W12" s="386"/>
      <c r="X12" s="387"/>
      <c r="Y12" s="46">
        <v>1</v>
      </c>
      <c r="Z12" s="218" t="s">
        <v>397</v>
      </c>
      <c r="AA12" s="216"/>
      <c r="AB12" s="216"/>
      <c r="AC12" s="216"/>
      <c r="AD12" s="217"/>
    </row>
    <row r="13" spans="1:30" ht="85.5" customHeight="1">
      <c r="A13" s="34">
        <v>11</v>
      </c>
      <c r="B13" s="33" t="s">
        <v>37</v>
      </c>
      <c r="C13" s="470" t="s">
        <v>318</v>
      </c>
      <c r="D13" s="259"/>
      <c r="E13" s="259"/>
      <c r="F13" s="259"/>
      <c r="G13" s="259"/>
      <c r="H13" s="521"/>
      <c r="I13" s="385" t="s">
        <v>398</v>
      </c>
      <c r="J13" s="283"/>
      <c r="K13" s="287"/>
      <c r="L13" s="376" t="s">
        <v>399</v>
      </c>
      <c r="M13" s="251"/>
      <c r="N13" s="251"/>
      <c r="O13" s="404"/>
      <c r="P13" s="279" t="s">
        <v>400</v>
      </c>
      <c r="Q13" s="279"/>
      <c r="R13" s="225"/>
      <c r="S13" s="424" t="s">
        <v>401</v>
      </c>
      <c r="T13" s="425"/>
      <c r="U13" s="426"/>
      <c r="V13" s="376" t="s">
        <v>402</v>
      </c>
      <c r="W13" s="280"/>
      <c r="X13" s="381" t="s">
        <v>403</v>
      </c>
      <c r="Y13" s="386"/>
      <c r="Z13" s="386"/>
      <c r="AA13" s="387"/>
      <c r="AB13" s="281" t="s">
        <v>404</v>
      </c>
      <c r="AC13" s="282"/>
      <c r="AD13" s="297"/>
    </row>
    <row r="14" spans="1:30" ht="85.5" customHeight="1">
      <c r="A14" s="34">
        <v>12</v>
      </c>
      <c r="B14" s="33" t="s">
        <v>9</v>
      </c>
      <c r="C14" s="23">
        <v>1</v>
      </c>
      <c r="D14" s="534" t="s">
        <v>405</v>
      </c>
      <c r="E14" s="535"/>
      <c r="F14" s="535"/>
      <c r="G14" s="535"/>
      <c r="H14" s="535"/>
      <c r="I14" s="535"/>
      <c r="J14" s="535"/>
      <c r="K14" s="536"/>
      <c r="L14" s="23">
        <v>1</v>
      </c>
      <c r="M14" s="254" t="s">
        <v>406</v>
      </c>
      <c r="N14" s="255"/>
      <c r="O14" s="298"/>
      <c r="P14" s="215" t="s">
        <v>407</v>
      </c>
      <c r="Q14" s="279"/>
      <c r="R14" s="279"/>
      <c r="S14" s="298"/>
      <c r="T14" s="254" t="s">
        <v>408</v>
      </c>
      <c r="U14" s="255"/>
      <c r="V14" s="298"/>
      <c r="W14" s="107">
        <v>1</v>
      </c>
      <c r="X14" s="376" t="s">
        <v>409</v>
      </c>
      <c r="Y14" s="251"/>
      <c r="Z14" s="404"/>
      <c r="AA14" s="388" t="s">
        <v>410</v>
      </c>
      <c r="AB14" s="225"/>
      <c r="AC14" s="385" t="s">
        <v>411</v>
      </c>
      <c r="AD14" s="287"/>
    </row>
    <row r="15" spans="1:30" ht="85.5" customHeight="1">
      <c r="A15" s="34" t="s">
        <v>111</v>
      </c>
      <c r="B15" s="33" t="s">
        <v>112</v>
      </c>
      <c r="C15" s="192" t="s">
        <v>336</v>
      </c>
      <c r="D15" s="527" t="s">
        <v>412</v>
      </c>
      <c r="E15" s="415"/>
      <c r="F15" s="215" t="s">
        <v>337</v>
      </c>
      <c r="G15" s="279"/>
      <c r="H15" s="279"/>
      <c r="I15" s="225"/>
      <c r="J15" s="215" t="s">
        <v>413</v>
      </c>
      <c r="K15" s="279"/>
      <c r="L15" s="225"/>
      <c r="M15" s="56" t="s">
        <v>414</v>
      </c>
      <c r="N15" s="215" t="s">
        <v>415</v>
      </c>
      <c r="O15" s="279"/>
      <c r="P15" s="225"/>
      <c r="Q15" s="23">
        <v>1</v>
      </c>
      <c r="R15" s="281" t="s">
        <v>416</v>
      </c>
      <c r="S15" s="282"/>
      <c r="T15" s="297"/>
      <c r="U15" s="215" t="s">
        <v>417</v>
      </c>
      <c r="V15" s="279"/>
      <c r="W15" s="279"/>
      <c r="X15" s="298"/>
      <c r="Y15" s="385" t="s">
        <v>418</v>
      </c>
      <c r="Z15" s="283"/>
      <c r="AA15" s="287"/>
      <c r="AB15" s="215" t="s">
        <v>419</v>
      </c>
      <c r="AC15" s="279"/>
      <c r="AD15" s="225"/>
    </row>
    <row r="16" spans="1:30" ht="84.95" customHeight="1">
      <c r="A16" s="36"/>
      <c r="B16" s="37"/>
      <c r="C16" s="38">
        <f>(28*13-SUM(C17:AD20))/(28*13)</f>
        <v>0.94780219780219777</v>
      </c>
      <c r="D16" s="37">
        <v>2400</v>
      </c>
      <c r="E16" s="37"/>
      <c r="F16" s="37"/>
      <c r="G16" s="37"/>
      <c r="H16" s="523" t="s">
        <v>420</v>
      </c>
      <c r="I16" s="523"/>
      <c r="J16" s="523"/>
      <c r="K16" s="523"/>
      <c r="L16" s="37"/>
      <c r="M16" s="37">
        <v>900</v>
      </c>
      <c r="N16" s="37"/>
      <c r="O16" s="37"/>
      <c r="P16" s="37"/>
      <c r="Q16" s="37"/>
      <c r="R16" s="37"/>
      <c r="S16" s="37">
        <v>900</v>
      </c>
      <c r="T16" s="37"/>
      <c r="U16" s="37"/>
      <c r="V16" s="37"/>
      <c r="W16" s="37"/>
      <c r="X16" s="37"/>
      <c r="Y16" s="37">
        <v>500</v>
      </c>
      <c r="Z16" s="39"/>
      <c r="AA16" s="39"/>
      <c r="AB16" s="39"/>
      <c r="AC16" s="39"/>
      <c r="AD16" s="39"/>
    </row>
    <row r="17" spans="1:30" ht="85.5" customHeight="1">
      <c r="A17" s="2"/>
      <c r="B17" s="3" t="s">
        <v>121</v>
      </c>
      <c r="C17" s="2">
        <f t="shared" ref="C17:AD17" si="0">C28+C34</f>
        <v>0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1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1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</row>
    <row r="18" spans="1:30" ht="85.5" customHeight="1">
      <c r="A18" s="2"/>
      <c r="B18" s="3" t="s">
        <v>122</v>
      </c>
      <c r="C18" s="2">
        <f t="shared" ref="C18:AD18" si="1">C26+C27+C31+C32+C33+C37</f>
        <v>1</v>
      </c>
      <c r="D18" s="2">
        <f t="shared" si="1"/>
        <v>1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4">
        <f t="shared" si="1"/>
        <v>1</v>
      </c>
      <c r="J18" s="4">
        <f t="shared" si="1"/>
        <v>0</v>
      </c>
      <c r="K18" s="4">
        <f t="shared" si="1"/>
        <v>0</v>
      </c>
      <c r="L18" s="4">
        <f t="shared" si="1"/>
        <v>1</v>
      </c>
      <c r="M18" s="4">
        <f t="shared" si="1"/>
        <v>0</v>
      </c>
      <c r="N18" s="4">
        <f t="shared" si="1"/>
        <v>0</v>
      </c>
      <c r="O18" s="4">
        <f t="shared" si="1"/>
        <v>1</v>
      </c>
      <c r="P18" s="4">
        <f t="shared" si="1"/>
        <v>0</v>
      </c>
      <c r="Q18" s="4">
        <f t="shared" si="1"/>
        <v>0</v>
      </c>
      <c r="R18" s="4">
        <f t="shared" si="1"/>
        <v>1</v>
      </c>
      <c r="S18" s="4">
        <f t="shared" si="1"/>
        <v>1</v>
      </c>
      <c r="T18" s="4">
        <f t="shared" si="1"/>
        <v>0</v>
      </c>
      <c r="U18" s="4">
        <f t="shared" si="1"/>
        <v>0</v>
      </c>
      <c r="V18" s="4">
        <f t="shared" si="1"/>
        <v>0</v>
      </c>
      <c r="W18" s="4">
        <f t="shared" si="1"/>
        <v>2</v>
      </c>
      <c r="X18" s="4">
        <f t="shared" si="1"/>
        <v>0</v>
      </c>
      <c r="Y18" s="4">
        <f t="shared" si="1"/>
        <v>0</v>
      </c>
      <c r="Z18" s="4">
        <f t="shared" si="1"/>
        <v>0</v>
      </c>
      <c r="AA18" s="4">
        <f t="shared" si="1"/>
        <v>2</v>
      </c>
      <c r="AB18" s="4">
        <f t="shared" si="1"/>
        <v>0</v>
      </c>
      <c r="AC18" s="4">
        <f t="shared" si="1"/>
        <v>0</v>
      </c>
      <c r="AD18" s="4">
        <f t="shared" si="1"/>
        <v>1</v>
      </c>
    </row>
    <row r="19" spans="1:30" ht="85.5" customHeight="1">
      <c r="A19" s="2"/>
      <c r="B19" s="3" t="s">
        <v>123</v>
      </c>
      <c r="C19" s="2">
        <f t="shared" ref="C19:AD19" si="2">C29+C30+C35+C36</f>
        <v>1</v>
      </c>
      <c r="D19" s="2">
        <f t="shared" si="2"/>
        <v>0</v>
      </c>
      <c r="E19" s="4">
        <f t="shared" si="2"/>
        <v>0</v>
      </c>
      <c r="F19" s="4">
        <f t="shared" si="2"/>
        <v>0</v>
      </c>
      <c r="G19" s="4">
        <f t="shared" si="2"/>
        <v>0</v>
      </c>
      <c r="H19" s="4">
        <f t="shared" si="2"/>
        <v>0</v>
      </c>
      <c r="I19" s="4">
        <f t="shared" si="2"/>
        <v>0</v>
      </c>
      <c r="J19" s="4">
        <f t="shared" si="2"/>
        <v>0</v>
      </c>
      <c r="K19" s="4">
        <f t="shared" si="2"/>
        <v>0</v>
      </c>
      <c r="L19" s="4">
        <f t="shared" si="2"/>
        <v>1</v>
      </c>
      <c r="M19" s="4">
        <f t="shared" si="2"/>
        <v>1</v>
      </c>
      <c r="N19" s="4">
        <f t="shared" si="2"/>
        <v>0</v>
      </c>
      <c r="O19" s="4">
        <f t="shared" si="2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2"/>
        <v>0</v>
      </c>
      <c r="T19" s="4">
        <f t="shared" si="2"/>
        <v>0</v>
      </c>
      <c r="U19" s="4">
        <f t="shared" si="2"/>
        <v>0</v>
      </c>
      <c r="V19" s="4">
        <f t="shared" si="2"/>
        <v>0</v>
      </c>
      <c r="W19" s="4">
        <f t="shared" si="2"/>
        <v>0</v>
      </c>
      <c r="X19" s="4">
        <f t="shared" si="2"/>
        <v>0</v>
      </c>
      <c r="Y19" s="4">
        <f t="shared" si="2"/>
        <v>1</v>
      </c>
      <c r="Z19" s="4">
        <f t="shared" si="2"/>
        <v>0</v>
      </c>
      <c r="AA19" s="4">
        <f t="shared" si="2"/>
        <v>0</v>
      </c>
      <c r="AB19" s="4">
        <f t="shared" si="2"/>
        <v>0</v>
      </c>
      <c r="AC19" s="4">
        <f t="shared" si="2"/>
        <v>0</v>
      </c>
      <c r="AD19" s="4">
        <f t="shared" si="2"/>
        <v>0</v>
      </c>
    </row>
    <row r="20" spans="1:30" ht="85.5" customHeight="1">
      <c r="A20" s="2"/>
      <c r="B20" s="3" t="s">
        <v>124</v>
      </c>
      <c r="C20" s="2">
        <f t="shared" ref="C20:AD20" si="3">C38</f>
        <v>0</v>
      </c>
      <c r="D20" s="2">
        <f t="shared" si="3"/>
        <v>0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4">
        <f t="shared" si="3"/>
        <v>1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</row>
    <row r="21" spans="1:30" ht="85.5" customHeight="1">
      <c r="C21" s="41">
        <f t="shared" ref="C21:AD21" si="4">SUM(C17:C20)</f>
        <v>2</v>
      </c>
      <c r="D21" s="41">
        <f t="shared" si="4"/>
        <v>1</v>
      </c>
      <c r="E21" s="41">
        <f t="shared" si="4"/>
        <v>0</v>
      </c>
      <c r="F21" s="41">
        <f t="shared" si="4"/>
        <v>0</v>
      </c>
      <c r="G21" s="41">
        <f t="shared" si="4"/>
        <v>0</v>
      </c>
      <c r="H21" s="41">
        <f t="shared" si="4"/>
        <v>0</v>
      </c>
      <c r="I21" s="41">
        <f t="shared" si="4"/>
        <v>1</v>
      </c>
      <c r="J21" s="41">
        <f t="shared" si="4"/>
        <v>1</v>
      </c>
      <c r="K21" s="41">
        <f t="shared" si="4"/>
        <v>0</v>
      </c>
      <c r="L21" s="41">
        <f t="shared" si="4"/>
        <v>2</v>
      </c>
      <c r="M21" s="41">
        <f t="shared" si="4"/>
        <v>1</v>
      </c>
      <c r="N21" s="41">
        <f t="shared" si="4"/>
        <v>0</v>
      </c>
      <c r="O21" s="41">
        <f t="shared" si="4"/>
        <v>1</v>
      </c>
      <c r="P21" s="41">
        <f t="shared" si="4"/>
        <v>0</v>
      </c>
      <c r="Q21" s="41">
        <f t="shared" si="4"/>
        <v>1</v>
      </c>
      <c r="R21" s="41">
        <f t="shared" si="4"/>
        <v>2</v>
      </c>
      <c r="S21" s="41">
        <f t="shared" si="4"/>
        <v>1</v>
      </c>
      <c r="T21" s="41">
        <f t="shared" si="4"/>
        <v>0</v>
      </c>
      <c r="U21" s="41">
        <f t="shared" si="4"/>
        <v>0</v>
      </c>
      <c r="V21" s="41">
        <f t="shared" si="4"/>
        <v>0</v>
      </c>
      <c r="W21" s="41">
        <f t="shared" si="4"/>
        <v>2</v>
      </c>
      <c r="X21" s="41">
        <f t="shared" si="4"/>
        <v>0</v>
      </c>
      <c r="Y21" s="41">
        <f t="shared" si="4"/>
        <v>1</v>
      </c>
      <c r="Z21" s="41">
        <f t="shared" si="4"/>
        <v>0</v>
      </c>
      <c r="AA21" s="41">
        <f t="shared" si="4"/>
        <v>2</v>
      </c>
      <c r="AB21" s="41">
        <f t="shared" si="4"/>
        <v>0</v>
      </c>
      <c r="AC21" s="41">
        <f t="shared" si="4"/>
        <v>0</v>
      </c>
      <c r="AD21" s="41">
        <f t="shared" si="4"/>
        <v>1</v>
      </c>
    </row>
    <row r="22" spans="1:30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71.099999999999994" customHeight="1"/>
    <row r="24" spans="1:30" ht="61.35" customHeight="1"/>
    <row r="26" spans="1:30" ht="42" customHeight="1">
      <c r="B26" s="42">
        <v>1</v>
      </c>
      <c r="C26" s="40">
        <f t="shared" ref="C26" si="5">IF(C3=1,1,0)</f>
        <v>0</v>
      </c>
      <c r="D26" s="40">
        <f t="shared" ref="D26:AD26" si="6">IF(D3=1,1,0)</f>
        <v>0</v>
      </c>
      <c r="E26" s="40">
        <f t="shared" si="6"/>
        <v>0</v>
      </c>
      <c r="F26" s="40">
        <f t="shared" si="6"/>
        <v>0</v>
      </c>
      <c r="G26" s="40">
        <f t="shared" si="6"/>
        <v>0</v>
      </c>
      <c r="H26" s="40">
        <f t="shared" si="6"/>
        <v>0</v>
      </c>
      <c r="I26" s="40">
        <f t="shared" si="6"/>
        <v>0</v>
      </c>
      <c r="J26" s="40">
        <f t="shared" si="6"/>
        <v>0</v>
      </c>
      <c r="K26" s="40">
        <f t="shared" si="6"/>
        <v>0</v>
      </c>
      <c r="L26" s="40">
        <f t="shared" si="6"/>
        <v>0</v>
      </c>
      <c r="M26" s="40">
        <f t="shared" si="6"/>
        <v>0</v>
      </c>
      <c r="N26" s="40">
        <f t="shared" si="6"/>
        <v>0</v>
      </c>
      <c r="O26" s="40">
        <f t="shared" si="6"/>
        <v>0</v>
      </c>
      <c r="P26" s="40">
        <f t="shared" si="6"/>
        <v>0</v>
      </c>
      <c r="Q26" s="40">
        <f t="shared" si="6"/>
        <v>0</v>
      </c>
      <c r="R26" s="40">
        <f t="shared" si="6"/>
        <v>0</v>
      </c>
      <c r="S26" s="40">
        <f t="shared" si="6"/>
        <v>0</v>
      </c>
      <c r="T26" s="40">
        <f t="shared" si="6"/>
        <v>0</v>
      </c>
      <c r="U26" s="40">
        <f t="shared" si="6"/>
        <v>0</v>
      </c>
      <c r="V26" s="40">
        <f t="shared" si="6"/>
        <v>0</v>
      </c>
      <c r="W26" s="40">
        <f t="shared" si="6"/>
        <v>0</v>
      </c>
      <c r="X26" s="40">
        <f t="shared" si="6"/>
        <v>0</v>
      </c>
      <c r="Y26" s="40">
        <f t="shared" si="6"/>
        <v>0</v>
      </c>
      <c r="Z26" s="40">
        <f t="shared" si="6"/>
        <v>0</v>
      </c>
      <c r="AA26" s="40">
        <f t="shared" si="6"/>
        <v>0</v>
      </c>
      <c r="AB26" s="40">
        <f t="shared" si="6"/>
        <v>0</v>
      </c>
      <c r="AC26" s="40">
        <f t="shared" si="6"/>
        <v>0</v>
      </c>
      <c r="AD26" s="40">
        <f t="shared" si="6"/>
        <v>1</v>
      </c>
    </row>
    <row r="27" spans="1:30" ht="42" customHeight="1">
      <c r="B27" s="42">
        <v>2</v>
      </c>
      <c r="C27" s="40">
        <f t="shared" ref="C27" si="7">IF(C4=1,1,0)</f>
        <v>0</v>
      </c>
      <c r="D27" s="40">
        <f t="shared" ref="D27:AD27" si="8">IF(D4=1,1,0)</f>
        <v>0</v>
      </c>
      <c r="E27" s="40">
        <f t="shared" si="8"/>
        <v>0</v>
      </c>
      <c r="F27" s="40">
        <f t="shared" si="8"/>
        <v>0</v>
      </c>
      <c r="G27" s="40">
        <f t="shared" si="8"/>
        <v>0</v>
      </c>
      <c r="H27" s="40">
        <f t="shared" si="8"/>
        <v>0</v>
      </c>
      <c r="I27" s="40">
        <f t="shared" si="8"/>
        <v>0</v>
      </c>
      <c r="J27" s="40">
        <f t="shared" si="8"/>
        <v>0</v>
      </c>
      <c r="K27" s="40">
        <f t="shared" si="8"/>
        <v>0</v>
      </c>
      <c r="L27" s="40">
        <f t="shared" si="8"/>
        <v>0</v>
      </c>
      <c r="M27" s="40">
        <f t="shared" si="8"/>
        <v>0</v>
      </c>
      <c r="N27" s="40">
        <f t="shared" si="8"/>
        <v>0</v>
      </c>
      <c r="O27" s="40">
        <f t="shared" si="8"/>
        <v>1</v>
      </c>
      <c r="P27" s="40">
        <f t="shared" si="8"/>
        <v>0</v>
      </c>
      <c r="Q27" s="40">
        <f t="shared" si="8"/>
        <v>0</v>
      </c>
      <c r="R27" s="40">
        <f t="shared" si="8"/>
        <v>0</v>
      </c>
      <c r="S27" s="40">
        <f t="shared" si="8"/>
        <v>0</v>
      </c>
      <c r="T27" s="40">
        <f t="shared" si="8"/>
        <v>0</v>
      </c>
      <c r="U27" s="40">
        <f t="shared" si="8"/>
        <v>0</v>
      </c>
      <c r="V27" s="40">
        <f t="shared" si="8"/>
        <v>0</v>
      </c>
      <c r="W27" s="40">
        <f t="shared" si="8"/>
        <v>0</v>
      </c>
      <c r="X27" s="40">
        <f t="shared" si="8"/>
        <v>0</v>
      </c>
      <c r="Y27" s="40">
        <f t="shared" si="8"/>
        <v>0</v>
      </c>
      <c r="Z27" s="40">
        <f t="shared" si="8"/>
        <v>0</v>
      </c>
      <c r="AA27" s="40">
        <f t="shared" si="8"/>
        <v>0</v>
      </c>
      <c r="AB27" s="40">
        <f t="shared" si="8"/>
        <v>0</v>
      </c>
      <c r="AC27" s="40">
        <f t="shared" si="8"/>
        <v>0</v>
      </c>
      <c r="AD27" s="40">
        <f t="shared" si="8"/>
        <v>0</v>
      </c>
    </row>
    <row r="28" spans="1:30" ht="42" customHeight="1">
      <c r="B28" s="43">
        <v>3</v>
      </c>
      <c r="C28" s="40">
        <f t="shared" ref="C28" si="9">IF(C5=1,1,0)</f>
        <v>0</v>
      </c>
      <c r="D28" s="40">
        <f t="shared" ref="D28:AD28" si="10">IF(D5=1,1,0)</f>
        <v>0</v>
      </c>
      <c r="E28" s="40">
        <f t="shared" si="10"/>
        <v>0</v>
      </c>
      <c r="F28" s="40">
        <f t="shared" si="10"/>
        <v>0</v>
      </c>
      <c r="G28" s="40">
        <f t="shared" si="10"/>
        <v>0</v>
      </c>
      <c r="H28" s="40">
        <f t="shared" si="10"/>
        <v>0</v>
      </c>
      <c r="I28" s="40">
        <f t="shared" si="10"/>
        <v>0</v>
      </c>
      <c r="J28" s="40">
        <f t="shared" si="10"/>
        <v>0</v>
      </c>
      <c r="K28" s="40">
        <f t="shared" si="10"/>
        <v>0</v>
      </c>
      <c r="L28" s="40">
        <f t="shared" si="10"/>
        <v>0</v>
      </c>
      <c r="M28" s="40">
        <f t="shared" si="10"/>
        <v>0</v>
      </c>
      <c r="N28" s="40">
        <f t="shared" si="10"/>
        <v>0</v>
      </c>
      <c r="O28" s="40">
        <f t="shared" si="10"/>
        <v>0</v>
      </c>
      <c r="P28" s="40">
        <f t="shared" si="10"/>
        <v>0</v>
      </c>
      <c r="Q28" s="40">
        <f t="shared" si="10"/>
        <v>0</v>
      </c>
      <c r="R28" s="40">
        <f t="shared" si="10"/>
        <v>1</v>
      </c>
      <c r="S28" s="40">
        <f t="shared" si="10"/>
        <v>0</v>
      </c>
      <c r="T28" s="40">
        <f t="shared" si="10"/>
        <v>0</v>
      </c>
      <c r="U28" s="40">
        <f t="shared" si="10"/>
        <v>0</v>
      </c>
      <c r="V28" s="40">
        <f t="shared" si="10"/>
        <v>0</v>
      </c>
      <c r="W28" s="40">
        <f t="shared" si="10"/>
        <v>0</v>
      </c>
      <c r="X28" s="40">
        <f t="shared" si="10"/>
        <v>0</v>
      </c>
      <c r="Y28" s="40">
        <f t="shared" si="10"/>
        <v>0</v>
      </c>
      <c r="Z28" s="40">
        <f t="shared" si="10"/>
        <v>0</v>
      </c>
      <c r="AA28" s="40">
        <f t="shared" si="10"/>
        <v>0</v>
      </c>
      <c r="AB28" s="40">
        <f t="shared" si="10"/>
        <v>0</v>
      </c>
      <c r="AC28" s="40">
        <f t="shared" si="10"/>
        <v>0</v>
      </c>
      <c r="AD28" s="40">
        <f t="shared" si="10"/>
        <v>0</v>
      </c>
    </row>
    <row r="29" spans="1:30" ht="42" customHeight="1">
      <c r="B29" s="44">
        <v>4</v>
      </c>
      <c r="C29" s="40">
        <f t="shared" ref="C29" si="11">IF(C6=1,1,0)</f>
        <v>0</v>
      </c>
      <c r="D29" s="40">
        <f t="shared" ref="D29:AD29" si="12">IF(D6=1,1,0)</f>
        <v>0</v>
      </c>
      <c r="E29" s="40">
        <f t="shared" si="12"/>
        <v>0</v>
      </c>
      <c r="F29" s="40">
        <f t="shared" si="12"/>
        <v>0</v>
      </c>
      <c r="G29" s="40">
        <f t="shared" si="12"/>
        <v>0</v>
      </c>
      <c r="H29" s="40">
        <f t="shared" si="12"/>
        <v>0</v>
      </c>
      <c r="I29" s="40">
        <f t="shared" si="12"/>
        <v>0</v>
      </c>
      <c r="J29" s="40">
        <f t="shared" si="12"/>
        <v>0</v>
      </c>
      <c r="K29" s="40">
        <f t="shared" si="12"/>
        <v>0</v>
      </c>
      <c r="L29" s="40">
        <f t="shared" si="12"/>
        <v>0</v>
      </c>
      <c r="M29" s="40">
        <f t="shared" si="12"/>
        <v>0</v>
      </c>
      <c r="N29" s="40">
        <f t="shared" si="12"/>
        <v>0</v>
      </c>
      <c r="O29" s="40">
        <f t="shared" si="12"/>
        <v>0</v>
      </c>
      <c r="P29" s="40">
        <f t="shared" si="12"/>
        <v>0</v>
      </c>
      <c r="Q29" s="40">
        <f t="shared" si="12"/>
        <v>0</v>
      </c>
      <c r="R29" s="40">
        <f t="shared" si="12"/>
        <v>0</v>
      </c>
      <c r="S29" s="40">
        <f t="shared" si="12"/>
        <v>0</v>
      </c>
      <c r="T29" s="40">
        <f t="shared" si="12"/>
        <v>0</v>
      </c>
      <c r="U29" s="40">
        <f t="shared" si="12"/>
        <v>0</v>
      </c>
      <c r="V29" s="40">
        <f t="shared" si="12"/>
        <v>0</v>
      </c>
      <c r="W29" s="40">
        <f t="shared" si="12"/>
        <v>0</v>
      </c>
      <c r="X29" s="40">
        <f t="shared" si="12"/>
        <v>0</v>
      </c>
      <c r="Y29" s="40">
        <f t="shared" si="12"/>
        <v>0</v>
      </c>
      <c r="Z29" s="40">
        <f t="shared" si="12"/>
        <v>0</v>
      </c>
      <c r="AA29" s="40">
        <f t="shared" si="12"/>
        <v>0</v>
      </c>
      <c r="AB29" s="40">
        <f t="shared" si="12"/>
        <v>0</v>
      </c>
      <c r="AC29" s="40">
        <f t="shared" si="12"/>
        <v>0</v>
      </c>
      <c r="AD29" s="40">
        <f t="shared" si="12"/>
        <v>0</v>
      </c>
    </row>
    <row r="30" spans="1:30" ht="42" customHeight="1">
      <c r="B30" s="44">
        <v>5</v>
      </c>
      <c r="C30" s="40">
        <f t="shared" ref="C30:AD30" si="13">IF(C7=1,1,0)</f>
        <v>0</v>
      </c>
      <c r="D30" s="40">
        <f t="shared" si="13"/>
        <v>0</v>
      </c>
      <c r="E30" s="40">
        <f t="shared" si="13"/>
        <v>0</v>
      </c>
      <c r="F30" s="40">
        <f t="shared" si="13"/>
        <v>0</v>
      </c>
      <c r="G30" s="40">
        <f t="shared" si="13"/>
        <v>0</v>
      </c>
      <c r="H30" s="40">
        <f t="shared" si="13"/>
        <v>0</v>
      </c>
      <c r="I30" s="40">
        <f t="shared" si="13"/>
        <v>0</v>
      </c>
      <c r="J30" s="40">
        <f t="shared" si="13"/>
        <v>0</v>
      </c>
      <c r="K30" s="40">
        <f t="shared" si="13"/>
        <v>0</v>
      </c>
      <c r="L30" s="40">
        <f t="shared" si="13"/>
        <v>0</v>
      </c>
      <c r="M30" s="40">
        <f t="shared" si="13"/>
        <v>0</v>
      </c>
      <c r="N30" s="40">
        <f t="shared" si="13"/>
        <v>0</v>
      </c>
      <c r="O30" s="40">
        <f t="shared" si="13"/>
        <v>0</v>
      </c>
      <c r="P30" s="40">
        <f t="shared" si="13"/>
        <v>0</v>
      </c>
      <c r="Q30" s="40">
        <f t="shared" si="13"/>
        <v>0</v>
      </c>
      <c r="R30" s="40">
        <f t="shared" si="13"/>
        <v>0</v>
      </c>
      <c r="S30" s="40">
        <f t="shared" si="13"/>
        <v>0</v>
      </c>
      <c r="T30" s="40">
        <f t="shared" si="13"/>
        <v>0</v>
      </c>
      <c r="U30" s="40">
        <f t="shared" si="13"/>
        <v>0</v>
      </c>
      <c r="V30" s="40">
        <f t="shared" si="13"/>
        <v>0</v>
      </c>
      <c r="W30" s="40">
        <f t="shared" si="13"/>
        <v>0</v>
      </c>
      <c r="X30" s="40">
        <f t="shared" si="13"/>
        <v>0</v>
      </c>
      <c r="Y30" s="40">
        <f t="shared" si="13"/>
        <v>0</v>
      </c>
      <c r="Z30" s="40">
        <f t="shared" si="13"/>
        <v>0</v>
      </c>
      <c r="AA30" s="40">
        <f t="shared" si="13"/>
        <v>0</v>
      </c>
      <c r="AB30" s="40">
        <f t="shared" si="13"/>
        <v>0</v>
      </c>
      <c r="AC30" s="40">
        <f t="shared" si="13"/>
        <v>0</v>
      </c>
      <c r="AD30" s="40">
        <f t="shared" si="13"/>
        <v>0</v>
      </c>
    </row>
    <row r="31" spans="1:30" ht="42" customHeight="1">
      <c r="B31" s="42">
        <v>6</v>
      </c>
      <c r="C31" s="40">
        <f t="shared" ref="C31:AD31" si="14">IF(C8=1,1,0)</f>
        <v>0</v>
      </c>
      <c r="D31" s="40">
        <f t="shared" si="14"/>
        <v>1</v>
      </c>
      <c r="E31" s="40">
        <f t="shared" si="14"/>
        <v>0</v>
      </c>
      <c r="F31" s="40">
        <f t="shared" si="14"/>
        <v>0</v>
      </c>
      <c r="G31" s="40">
        <f t="shared" si="14"/>
        <v>0</v>
      </c>
      <c r="H31" s="40">
        <f t="shared" si="14"/>
        <v>0</v>
      </c>
      <c r="I31" s="40">
        <f t="shared" si="14"/>
        <v>1</v>
      </c>
      <c r="J31" s="40">
        <f t="shared" si="14"/>
        <v>0</v>
      </c>
      <c r="K31" s="40">
        <f t="shared" si="14"/>
        <v>0</v>
      </c>
      <c r="L31" s="40">
        <f t="shared" si="14"/>
        <v>0</v>
      </c>
      <c r="M31" s="40">
        <f t="shared" si="14"/>
        <v>0</v>
      </c>
      <c r="N31" s="40">
        <f t="shared" si="14"/>
        <v>0</v>
      </c>
      <c r="O31" s="40">
        <f t="shared" si="14"/>
        <v>0</v>
      </c>
      <c r="P31" s="40">
        <f t="shared" si="14"/>
        <v>0</v>
      </c>
      <c r="Q31" s="40">
        <f t="shared" si="14"/>
        <v>0</v>
      </c>
      <c r="R31" s="40">
        <f t="shared" si="14"/>
        <v>0</v>
      </c>
      <c r="S31" s="40">
        <f t="shared" si="14"/>
        <v>0</v>
      </c>
      <c r="T31" s="40">
        <f t="shared" si="14"/>
        <v>0</v>
      </c>
      <c r="U31" s="40">
        <f t="shared" si="14"/>
        <v>0</v>
      </c>
      <c r="V31" s="40">
        <f t="shared" si="14"/>
        <v>0</v>
      </c>
      <c r="W31" s="40">
        <f t="shared" si="14"/>
        <v>0</v>
      </c>
      <c r="X31" s="40">
        <f t="shared" si="14"/>
        <v>0</v>
      </c>
      <c r="Y31" s="40">
        <f t="shared" si="14"/>
        <v>0</v>
      </c>
      <c r="Z31" s="40">
        <f t="shared" si="14"/>
        <v>0</v>
      </c>
      <c r="AA31" s="40">
        <f t="shared" si="14"/>
        <v>0</v>
      </c>
      <c r="AB31" s="40">
        <f t="shared" si="14"/>
        <v>0</v>
      </c>
      <c r="AC31" s="40">
        <f t="shared" si="14"/>
        <v>0</v>
      </c>
      <c r="AD31" s="40">
        <f t="shared" si="14"/>
        <v>0</v>
      </c>
    </row>
    <row r="32" spans="1:30" ht="42" customHeight="1">
      <c r="B32" s="42">
        <v>7</v>
      </c>
      <c r="C32" s="40">
        <f t="shared" ref="C32:AD32" si="15">IF(C9=1,1,0)</f>
        <v>0</v>
      </c>
      <c r="D32" s="40">
        <f t="shared" si="15"/>
        <v>0</v>
      </c>
      <c r="E32" s="40">
        <f t="shared" si="15"/>
        <v>0</v>
      </c>
      <c r="F32" s="40">
        <f t="shared" si="15"/>
        <v>0</v>
      </c>
      <c r="G32" s="40">
        <f t="shared" si="15"/>
        <v>0</v>
      </c>
      <c r="H32" s="40">
        <f t="shared" si="15"/>
        <v>0</v>
      </c>
      <c r="I32" s="40">
        <f t="shared" si="15"/>
        <v>0</v>
      </c>
      <c r="J32" s="40">
        <f t="shared" si="15"/>
        <v>0</v>
      </c>
      <c r="K32" s="40">
        <f t="shared" si="15"/>
        <v>0</v>
      </c>
      <c r="L32" s="40">
        <f t="shared" si="15"/>
        <v>0</v>
      </c>
      <c r="M32" s="40">
        <f t="shared" si="15"/>
        <v>0</v>
      </c>
      <c r="N32" s="40">
        <f t="shared" si="15"/>
        <v>0</v>
      </c>
      <c r="O32" s="40">
        <f t="shared" si="15"/>
        <v>0</v>
      </c>
      <c r="P32" s="40">
        <f t="shared" si="15"/>
        <v>0</v>
      </c>
      <c r="Q32" s="40">
        <f t="shared" si="15"/>
        <v>0</v>
      </c>
      <c r="R32" s="40">
        <f t="shared" si="15"/>
        <v>0</v>
      </c>
      <c r="S32" s="40">
        <f t="shared" si="15"/>
        <v>1</v>
      </c>
      <c r="T32" s="40">
        <f t="shared" si="15"/>
        <v>0</v>
      </c>
      <c r="U32" s="40">
        <f t="shared" si="15"/>
        <v>0</v>
      </c>
      <c r="V32" s="40">
        <f t="shared" si="15"/>
        <v>0</v>
      </c>
      <c r="W32" s="40">
        <f t="shared" si="15"/>
        <v>1</v>
      </c>
      <c r="X32" s="40">
        <f t="shared" si="15"/>
        <v>0</v>
      </c>
      <c r="Y32" s="40">
        <f t="shared" si="15"/>
        <v>0</v>
      </c>
      <c r="Z32" s="40">
        <f t="shared" si="15"/>
        <v>0</v>
      </c>
      <c r="AA32" s="40">
        <f t="shared" si="15"/>
        <v>1</v>
      </c>
      <c r="AB32" s="40">
        <f t="shared" si="15"/>
        <v>0</v>
      </c>
      <c r="AC32" s="40">
        <f t="shared" si="15"/>
        <v>0</v>
      </c>
      <c r="AD32" s="40">
        <f t="shared" si="15"/>
        <v>0</v>
      </c>
    </row>
    <row r="33" spans="2:30" ht="42" customHeight="1">
      <c r="B33" s="42">
        <v>8</v>
      </c>
      <c r="C33" s="40">
        <f t="shared" ref="C33:AD33" si="16">IF(C10=1,1,0)</f>
        <v>0</v>
      </c>
      <c r="D33" s="40">
        <f t="shared" si="16"/>
        <v>0</v>
      </c>
      <c r="E33" s="40">
        <f t="shared" si="16"/>
        <v>0</v>
      </c>
      <c r="F33" s="40">
        <f t="shared" si="16"/>
        <v>0</v>
      </c>
      <c r="G33" s="40">
        <f t="shared" si="16"/>
        <v>0</v>
      </c>
      <c r="H33" s="40">
        <f t="shared" si="16"/>
        <v>0</v>
      </c>
      <c r="I33" s="40">
        <f t="shared" si="16"/>
        <v>0</v>
      </c>
      <c r="J33" s="40">
        <f t="shared" si="16"/>
        <v>0</v>
      </c>
      <c r="K33" s="40">
        <f t="shared" si="16"/>
        <v>0</v>
      </c>
      <c r="L33" s="40">
        <f t="shared" si="16"/>
        <v>0</v>
      </c>
      <c r="M33" s="40">
        <f t="shared" si="16"/>
        <v>0</v>
      </c>
      <c r="N33" s="40">
        <f t="shared" si="16"/>
        <v>0</v>
      </c>
      <c r="O33" s="40">
        <f t="shared" si="16"/>
        <v>0</v>
      </c>
      <c r="P33" s="40">
        <f t="shared" si="16"/>
        <v>0</v>
      </c>
      <c r="Q33" s="40">
        <f t="shared" si="16"/>
        <v>0</v>
      </c>
      <c r="R33" s="40">
        <f t="shared" si="16"/>
        <v>1</v>
      </c>
      <c r="S33" s="40">
        <f t="shared" si="16"/>
        <v>0</v>
      </c>
      <c r="T33" s="40">
        <f t="shared" si="16"/>
        <v>0</v>
      </c>
      <c r="U33" s="40">
        <f t="shared" si="16"/>
        <v>0</v>
      </c>
      <c r="V33" s="40">
        <f t="shared" si="16"/>
        <v>0</v>
      </c>
      <c r="W33" s="40">
        <f t="shared" si="16"/>
        <v>0</v>
      </c>
      <c r="X33" s="40">
        <f t="shared" si="16"/>
        <v>0</v>
      </c>
      <c r="Y33" s="40">
        <f t="shared" si="16"/>
        <v>0</v>
      </c>
      <c r="Z33" s="40">
        <f t="shared" si="16"/>
        <v>0</v>
      </c>
      <c r="AA33" s="40">
        <f t="shared" si="16"/>
        <v>1</v>
      </c>
      <c r="AB33" s="40">
        <f t="shared" si="16"/>
        <v>0</v>
      </c>
      <c r="AC33" s="40">
        <f t="shared" si="16"/>
        <v>0</v>
      </c>
      <c r="AD33" s="40">
        <f t="shared" si="16"/>
        <v>0</v>
      </c>
    </row>
    <row r="34" spans="2:30" ht="42" customHeight="1">
      <c r="B34" s="43">
        <v>9</v>
      </c>
      <c r="C34" s="40">
        <f>IF('Jan2026'!AG11=1,1,0)</f>
        <v>0</v>
      </c>
      <c r="D34" s="40">
        <f>IF('Jan2026'!AH11=1,1,0)</f>
        <v>0</v>
      </c>
      <c r="E34" s="40">
        <f>IF('Jan2026'!AI11=1,1,0)</f>
        <v>0</v>
      </c>
      <c r="F34" s="40">
        <f>IF('Jan2026'!AJ11=1,1,0)</f>
        <v>0</v>
      </c>
      <c r="G34" s="40">
        <f>IF('Jan2026'!AK11=1,1,0)</f>
        <v>0</v>
      </c>
      <c r="H34" s="40">
        <f>IF('Jan2026'!AL11=1,1,0)</f>
        <v>0</v>
      </c>
      <c r="I34" s="40">
        <f>IF('Jan2026'!AM11=1,1,0)</f>
        <v>0</v>
      </c>
      <c r="J34" s="40">
        <f>IF('Jan2026'!AN11=1,1,0)</f>
        <v>1</v>
      </c>
      <c r="K34" s="40">
        <f>IF('Jan2026'!AO11=1,1,0)</f>
        <v>0</v>
      </c>
      <c r="L34" s="40">
        <f>IF('Jan2026'!AP11=1,1,0)</f>
        <v>0</v>
      </c>
      <c r="M34" s="40">
        <f>IF('Jan2026'!AQ11=1,1,0)</f>
        <v>0</v>
      </c>
      <c r="N34" s="40">
        <f>IF('Jan2026'!AR11=1,1,0)</f>
        <v>0</v>
      </c>
      <c r="O34" s="40">
        <f>IF('Jan2026'!AS11=1,1,0)</f>
        <v>0</v>
      </c>
      <c r="P34" s="40">
        <f>IF('Jan2026'!AT11=1,1,0)</f>
        <v>0</v>
      </c>
      <c r="Q34" s="40">
        <f>IF('Jan2026'!AU11=1,1,0)</f>
        <v>0</v>
      </c>
      <c r="R34" s="40">
        <f>IF('Jan2026'!AV11=1,1,0)</f>
        <v>0</v>
      </c>
      <c r="S34" s="40">
        <f>IF('Jan2026'!AW11=1,1,0)</f>
        <v>0</v>
      </c>
      <c r="T34" s="40">
        <f>IF('Jan2026'!AX11=1,1,0)</f>
        <v>0</v>
      </c>
      <c r="U34" s="40">
        <f>IF('Jan2026'!AY11=1,1,0)</f>
        <v>0</v>
      </c>
      <c r="V34" s="40">
        <f>IF('Jan2026'!AZ11=1,1,0)</f>
        <v>0</v>
      </c>
      <c r="W34" s="40">
        <f>IF('Jan2026'!BA11=1,1,0)</f>
        <v>0</v>
      </c>
      <c r="X34" s="40">
        <f>IF('Jan2026'!BB11=1,1,0)</f>
        <v>0</v>
      </c>
      <c r="Y34" s="40">
        <f>IF('Jan2026'!BC11=1,1,0)</f>
        <v>0</v>
      </c>
      <c r="Z34" s="40">
        <f>IF('Jan2026'!BD11=1,1,0)</f>
        <v>0</v>
      </c>
      <c r="AA34" s="40">
        <f>IF('Jan2026'!BE11=1,1,0)</f>
        <v>0</v>
      </c>
      <c r="AB34" s="40">
        <f>IF('Jan2026'!BF11=1,1,0)</f>
        <v>0</v>
      </c>
      <c r="AC34" s="40">
        <f>IF('Jan2026'!BG11=1,1,0)</f>
        <v>0</v>
      </c>
      <c r="AD34" s="40">
        <f>IF('Jan2026'!BH11=1,1,0)</f>
        <v>0</v>
      </c>
    </row>
    <row r="35" spans="2:30" ht="42" customHeight="1">
      <c r="B35" s="44">
        <v>10</v>
      </c>
      <c r="C35" s="40">
        <f t="shared" ref="C35:AD35" si="17">IF(C12=1,1,0)</f>
        <v>1</v>
      </c>
      <c r="D35" s="40">
        <f t="shared" si="17"/>
        <v>0</v>
      </c>
      <c r="E35" s="40">
        <f t="shared" si="17"/>
        <v>0</v>
      </c>
      <c r="F35" s="40">
        <f t="shared" si="17"/>
        <v>0</v>
      </c>
      <c r="G35" s="40">
        <f t="shared" si="17"/>
        <v>0</v>
      </c>
      <c r="H35" s="40">
        <f t="shared" si="17"/>
        <v>0</v>
      </c>
      <c r="I35" s="40">
        <f t="shared" si="17"/>
        <v>0</v>
      </c>
      <c r="J35" s="40">
        <f t="shared" si="17"/>
        <v>0</v>
      </c>
      <c r="K35" s="40">
        <f t="shared" si="17"/>
        <v>0</v>
      </c>
      <c r="L35" s="40">
        <f t="shared" si="17"/>
        <v>1</v>
      </c>
      <c r="M35" s="40">
        <f t="shared" si="17"/>
        <v>1</v>
      </c>
      <c r="N35" s="40">
        <f t="shared" si="17"/>
        <v>0</v>
      </c>
      <c r="O35" s="40">
        <f t="shared" si="17"/>
        <v>0</v>
      </c>
      <c r="P35" s="40">
        <f t="shared" si="17"/>
        <v>0</v>
      </c>
      <c r="Q35" s="40">
        <f t="shared" si="17"/>
        <v>0</v>
      </c>
      <c r="R35" s="40">
        <f t="shared" si="17"/>
        <v>0</v>
      </c>
      <c r="S35" s="40">
        <f t="shared" si="17"/>
        <v>0</v>
      </c>
      <c r="T35" s="40">
        <f t="shared" si="17"/>
        <v>0</v>
      </c>
      <c r="U35" s="40">
        <f t="shared" si="17"/>
        <v>0</v>
      </c>
      <c r="V35" s="40">
        <f t="shared" si="17"/>
        <v>0</v>
      </c>
      <c r="W35" s="40">
        <f t="shared" si="17"/>
        <v>0</v>
      </c>
      <c r="X35" s="40">
        <f t="shared" si="17"/>
        <v>0</v>
      </c>
      <c r="Y35" s="40">
        <f t="shared" si="17"/>
        <v>1</v>
      </c>
      <c r="Z35" s="40">
        <f t="shared" si="17"/>
        <v>0</v>
      </c>
      <c r="AA35" s="40">
        <f t="shared" si="17"/>
        <v>0</v>
      </c>
      <c r="AB35" s="40">
        <f t="shared" si="17"/>
        <v>0</v>
      </c>
      <c r="AC35" s="40">
        <f t="shared" si="17"/>
        <v>0</v>
      </c>
      <c r="AD35" s="40">
        <f t="shared" si="17"/>
        <v>0</v>
      </c>
    </row>
    <row r="36" spans="2:30" ht="42" customHeight="1">
      <c r="B36" s="44">
        <v>11</v>
      </c>
      <c r="C36" s="40">
        <f t="shared" ref="C36:AD36" si="18">IF(C13=1,1,0)</f>
        <v>0</v>
      </c>
      <c r="D36" s="40">
        <f t="shared" si="18"/>
        <v>0</v>
      </c>
      <c r="E36" s="40">
        <f t="shared" si="18"/>
        <v>0</v>
      </c>
      <c r="F36" s="40">
        <f t="shared" si="18"/>
        <v>0</v>
      </c>
      <c r="G36" s="40">
        <f t="shared" si="18"/>
        <v>0</v>
      </c>
      <c r="H36" s="40">
        <f t="shared" si="18"/>
        <v>0</v>
      </c>
      <c r="I36" s="40">
        <f t="shared" si="18"/>
        <v>0</v>
      </c>
      <c r="J36" s="40">
        <f t="shared" si="18"/>
        <v>0</v>
      </c>
      <c r="K36" s="40">
        <f t="shared" si="18"/>
        <v>0</v>
      </c>
      <c r="L36" s="40">
        <f t="shared" si="18"/>
        <v>0</v>
      </c>
      <c r="M36" s="40">
        <f t="shared" si="18"/>
        <v>0</v>
      </c>
      <c r="N36" s="40">
        <f t="shared" si="18"/>
        <v>0</v>
      </c>
      <c r="O36" s="40">
        <f t="shared" si="18"/>
        <v>0</v>
      </c>
      <c r="P36" s="40">
        <f t="shared" si="18"/>
        <v>0</v>
      </c>
      <c r="Q36" s="40">
        <f t="shared" si="18"/>
        <v>0</v>
      </c>
      <c r="R36" s="40">
        <f t="shared" si="18"/>
        <v>0</v>
      </c>
      <c r="S36" s="40">
        <f t="shared" si="18"/>
        <v>0</v>
      </c>
      <c r="T36" s="40">
        <f t="shared" si="18"/>
        <v>0</v>
      </c>
      <c r="U36" s="40">
        <f t="shared" si="18"/>
        <v>0</v>
      </c>
      <c r="V36" s="40">
        <f t="shared" si="18"/>
        <v>0</v>
      </c>
      <c r="W36" s="40">
        <f t="shared" si="18"/>
        <v>0</v>
      </c>
      <c r="X36" s="40">
        <f t="shared" si="18"/>
        <v>0</v>
      </c>
      <c r="Y36" s="40">
        <f t="shared" si="18"/>
        <v>0</v>
      </c>
      <c r="Z36" s="40">
        <f t="shared" si="18"/>
        <v>0</v>
      </c>
      <c r="AA36" s="40">
        <f t="shared" si="18"/>
        <v>0</v>
      </c>
      <c r="AB36" s="40">
        <f t="shared" si="18"/>
        <v>0</v>
      </c>
      <c r="AC36" s="40">
        <f t="shared" si="18"/>
        <v>0</v>
      </c>
      <c r="AD36" s="40">
        <f t="shared" si="18"/>
        <v>0</v>
      </c>
    </row>
    <row r="37" spans="2:30" ht="42" customHeight="1">
      <c r="B37" s="42">
        <v>12</v>
      </c>
      <c r="C37" s="40">
        <f t="shared" ref="C37:C38" si="19">IF(C14=1,1,0)</f>
        <v>1</v>
      </c>
      <c r="D37" s="40">
        <f t="shared" ref="D37:AD37" si="20">IF(D14=1,1,0)</f>
        <v>0</v>
      </c>
      <c r="E37" s="40">
        <f t="shared" si="20"/>
        <v>0</v>
      </c>
      <c r="F37" s="40">
        <f t="shared" si="20"/>
        <v>0</v>
      </c>
      <c r="G37" s="40">
        <f t="shared" si="20"/>
        <v>0</v>
      </c>
      <c r="H37" s="40">
        <f t="shared" si="20"/>
        <v>0</v>
      </c>
      <c r="I37" s="40">
        <f t="shared" si="20"/>
        <v>0</v>
      </c>
      <c r="J37" s="40">
        <f t="shared" si="20"/>
        <v>0</v>
      </c>
      <c r="K37" s="40">
        <f t="shared" si="20"/>
        <v>0</v>
      </c>
      <c r="L37" s="40">
        <f t="shared" si="20"/>
        <v>1</v>
      </c>
      <c r="M37" s="40">
        <f t="shared" si="20"/>
        <v>0</v>
      </c>
      <c r="N37" s="40">
        <f t="shared" si="20"/>
        <v>0</v>
      </c>
      <c r="O37" s="40">
        <f t="shared" si="20"/>
        <v>0</v>
      </c>
      <c r="P37" s="40">
        <f t="shared" si="20"/>
        <v>0</v>
      </c>
      <c r="Q37" s="40">
        <f t="shared" si="20"/>
        <v>0</v>
      </c>
      <c r="R37" s="40">
        <f t="shared" si="20"/>
        <v>0</v>
      </c>
      <c r="S37" s="40">
        <f t="shared" si="20"/>
        <v>0</v>
      </c>
      <c r="T37" s="40">
        <f t="shared" si="20"/>
        <v>0</v>
      </c>
      <c r="U37" s="40">
        <f t="shared" si="20"/>
        <v>0</v>
      </c>
      <c r="V37" s="40">
        <f t="shared" si="20"/>
        <v>0</v>
      </c>
      <c r="W37" s="40">
        <f t="shared" si="20"/>
        <v>1</v>
      </c>
      <c r="X37" s="40">
        <f t="shared" si="20"/>
        <v>0</v>
      </c>
      <c r="Y37" s="40">
        <f t="shared" si="20"/>
        <v>0</v>
      </c>
      <c r="Z37" s="40">
        <f t="shared" si="20"/>
        <v>0</v>
      </c>
      <c r="AA37" s="40">
        <f t="shared" si="20"/>
        <v>0</v>
      </c>
      <c r="AB37" s="40">
        <f t="shared" si="20"/>
        <v>0</v>
      </c>
      <c r="AC37" s="40">
        <f t="shared" si="20"/>
        <v>0</v>
      </c>
      <c r="AD37" s="40">
        <f t="shared" si="20"/>
        <v>0</v>
      </c>
    </row>
    <row r="38" spans="2:30" ht="42" customHeight="1">
      <c r="B38" s="45" t="s">
        <v>111</v>
      </c>
      <c r="C38" s="40">
        <f t="shared" si="19"/>
        <v>0</v>
      </c>
      <c r="D38" s="40">
        <f t="shared" ref="D38:AD38" si="21">IF(D15=1,1,0)</f>
        <v>0</v>
      </c>
      <c r="E38" s="40">
        <f t="shared" si="21"/>
        <v>0</v>
      </c>
      <c r="F38" s="40">
        <f t="shared" si="21"/>
        <v>0</v>
      </c>
      <c r="G38" s="40">
        <f t="shared" si="21"/>
        <v>0</v>
      </c>
      <c r="H38" s="40">
        <f t="shared" si="21"/>
        <v>0</v>
      </c>
      <c r="I38" s="40">
        <f t="shared" si="21"/>
        <v>0</v>
      </c>
      <c r="J38" s="40">
        <f t="shared" si="21"/>
        <v>0</v>
      </c>
      <c r="K38" s="40">
        <f t="shared" si="21"/>
        <v>0</v>
      </c>
      <c r="L38" s="40">
        <f t="shared" si="21"/>
        <v>0</v>
      </c>
      <c r="M38" s="40">
        <f t="shared" si="21"/>
        <v>0</v>
      </c>
      <c r="N38" s="40">
        <f t="shared" si="21"/>
        <v>0</v>
      </c>
      <c r="O38" s="40">
        <f t="shared" si="21"/>
        <v>0</v>
      </c>
      <c r="P38" s="40">
        <f t="shared" si="21"/>
        <v>0</v>
      </c>
      <c r="Q38" s="40">
        <f t="shared" si="21"/>
        <v>1</v>
      </c>
      <c r="R38" s="40">
        <f t="shared" si="21"/>
        <v>0</v>
      </c>
      <c r="S38" s="40">
        <f t="shared" si="21"/>
        <v>0</v>
      </c>
      <c r="T38" s="40">
        <f t="shared" si="21"/>
        <v>0</v>
      </c>
      <c r="U38" s="40">
        <f t="shared" si="21"/>
        <v>0</v>
      </c>
      <c r="V38" s="40">
        <f t="shared" si="21"/>
        <v>0</v>
      </c>
      <c r="W38" s="40">
        <f t="shared" si="21"/>
        <v>0</v>
      </c>
      <c r="X38" s="40">
        <f t="shared" si="21"/>
        <v>0</v>
      </c>
      <c r="Y38" s="40">
        <f t="shared" si="21"/>
        <v>0</v>
      </c>
      <c r="Z38" s="40">
        <f t="shared" si="21"/>
        <v>0</v>
      </c>
      <c r="AA38" s="40">
        <f t="shared" si="21"/>
        <v>0</v>
      </c>
      <c r="AB38" s="40">
        <f t="shared" si="21"/>
        <v>0</v>
      </c>
      <c r="AC38" s="40">
        <f t="shared" si="21"/>
        <v>0</v>
      </c>
      <c r="AD38" s="40">
        <f t="shared" si="21"/>
        <v>0</v>
      </c>
    </row>
  </sheetData>
  <mergeCells count="96">
    <mergeCell ref="E7:I7"/>
    <mergeCell ref="F9:H9"/>
    <mergeCell ref="T8:W8"/>
    <mergeCell ref="D6:F6"/>
    <mergeCell ref="C7:D7"/>
    <mergeCell ref="J7:M8"/>
    <mergeCell ref="S6:U6"/>
    <mergeCell ref="T7:X7"/>
    <mergeCell ref="X6:Z6"/>
    <mergeCell ref="N8:P8"/>
    <mergeCell ref="N7:P7"/>
    <mergeCell ref="Q7:R7"/>
    <mergeCell ref="AC7:AD7"/>
    <mergeCell ref="Q8:S8"/>
    <mergeCell ref="AA8:AD8"/>
    <mergeCell ref="X8:Z9"/>
    <mergeCell ref="Z7:AB7"/>
    <mergeCell ref="D5:F5"/>
    <mergeCell ref="O5:Q5"/>
    <mergeCell ref="K3:N4"/>
    <mergeCell ref="J5:L5"/>
    <mergeCell ref="S4:T4"/>
    <mergeCell ref="G3:I3"/>
    <mergeCell ref="M5:N5"/>
    <mergeCell ref="G4:J4"/>
    <mergeCell ref="S5:T5"/>
    <mergeCell ref="D3:F3"/>
    <mergeCell ref="Z5:AC5"/>
    <mergeCell ref="AC6:AD6"/>
    <mergeCell ref="R3:T3"/>
    <mergeCell ref="G5:I5"/>
    <mergeCell ref="P4:R4"/>
    <mergeCell ref="G6:J6"/>
    <mergeCell ref="AA6:AB6"/>
    <mergeCell ref="V6:W6"/>
    <mergeCell ref="K6:N6"/>
    <mergeCell ref="O6:R6"/>
    <mergeCell ref="U4:W4"/>
    <mergeCell ref="U5:W5"/>
    <mergeCell ref="U3:W3"/>
    <mergeCell ref="X5:Y5"/>
    <mergeCell ref="O3:Q3"/>
    <mergeCell ref="AA3:AC3"/>
    <mergeCell ref="F11:H11"/>
    <mergeCell ref="P14:S14"/>
    <mergeCell ref="D14:K14"/>
    <mergeCell ref="S13:U13"/>
    <mergeCell ref="AA4:AD4"/>
    <mergeCell ref="X3:Z4"/>
    <mergeCell ref="C4:F4"/>
    <mergeCell ref="C11:E11"/>
    <mergeCell ref="K11:N11"/>
    <mergeCell ref="D10:F10"/>
    <mergeCell ref="C9:E9"/>
    <mergeCell ref="K10:Q10"/>
    <mergeCell ref="G10:J10"/>
    <mergeCell ref="I9:L9"/>
    <mergeCell ref="P9:R9"/>
    <mergeCell ref="V10:Z10"/>
    <mergeCell ref="D15:E15"/>
    <mergeCell ref="E8:H8"/>
    <mergeCell ref="C13:H13"/>
    <mergeCell ref="M14:O14"/>
    <mergeCell ref="I13:K13"/>
    <mergeCell ref="D12:G12"/>
    <mergeCell ref="M9:O9"/>
    <mergeCell ref="O11:Q11"/>
    <mergeCell ref="I11:J11"/>
    <mergeCell ref="L13:O13"/>
    <mergeCell ref="P13:R13"/>
    <mergeCell ref="R12:U12"/>
    <mergeCell ref="N12:Q12"/>
    <mergeCell ref="H12:K12"/>
    <mergeCell ref="S11:T11"/>
    <mergeCell ref="S10:U10"/>
    <mergeCell ref="AB13:AD13"/>
    <mergeCell ref="V11:Y11"/>
    <mergeCell ref="X14:Z14"/>
    <mergeCell ref="V13:W13"/>
    <mergeCell ref="AA14:AB14"/>
    <mergeCell ref="H16:K16"/>
    <mergeCell ref="U15:X15"/>
    <mergeCell ref="T14:V14"/>
    <mergeCell ref="AB15:AD15"/>
    <mergeCell ref="T9:V9"/>
    <mergeCell ref="AA11:AC11"/>
    <mergeCell ref="Z12:AD12"/>
    <mergeCell ref="V12:X12"/>
    <mergeCell ref="R15:T15"/>
    <mergeCell ref="Y15:AA15"/>
    <mergeCell ref="AC14:AD14"/>
    <mergeCell ref="X13:AA13"/>
    <mergeCell ref="AB9:AD10"/>
    <mergeCell ref="F15:I15"/>
    <mergeCell ref="J15:L15"/>
    <mergeCell ref="N15:P15"/>
  </mergeCells>
  <conditionalFormatting sqref="C17:AD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32B5-0DC4-407C-A5F8-0F810D0A5EBA}">
  <sheetPr>
    <tabColor theme="4" tint="0.59999389629810485"/>
  </sheetPr>
  <dimension ref="A1:AG38"/>
  <sheetViews>
    <sheetView zoomScale="40" zoomScaleNormal="40" workbookViewId="0">
      <pane xSplit="2" ySplit="2" topLeftCell="C6" activePane="bottomRight" state="frozen"/>
      <selection pane="bottomRight" activeCell="H3" sqref="H3:L3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27.42578125" style="40" bestFit="1" customWidth="1"/>
    <col min="3" max="33" width="16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31" t="s">
        <v>3</v>
      </c>
      <c r="D2" s="28" t="s">
        <v>4</v>
      </c>
      <c r="E2" s="28" t="s">
        <v>5</v>
      </c>
      <c r="F2" s="29" t="s">
        <v>6</v>
      </c>
      <c r="G2" s="28" t="s">
        <v>7</v>
      </c>
      <c r="H2" s="52" t="s">
        <v>8</v>
      </c>
      <c r="I2" s="50" t="s">
        <v>2</v>
      </c>
      <c r="J2" s="51" t="s">
        <v>3</v>
      </c>
      <c r="K2" s="52" t="s">
        <v>4</v>
      </c>
      <c r="L2" s="52" t="s">
        <v>5</v>
      </c>
      <c r="M2" s="53" t="s">
        <v>6</v>
      </c>
      <c r="N2" s="52" t="s">
        <v>7</v>
      </c>
      <c r="O2" s="52" t="s">
        <v>8</v>
      </c>
      <c r="P2" s="50" t="s">
        <v>2</v>
      </c>
      <c r="Q2" s="51" t="s">
        <v>3</v>
      </c>
      <c r="R2" s="52" t="s">
        <v>4</v>
      </c>
      <c r="S2" s="52" t="s">
        <v>5</v>
      </c>
      <c r="T2" s="53" t="s">
        <v>6</v>
      </c>
      <c r="U2" s="52" t="s">
        <v>7</v>
      </c>
      <c r="V2" s="52" t="s">
        <v>8</v>
      </c>
      <c r="W2" s="50" t="s">
        <v>2</v>
      </c>
      <c r="X2" s="51" t="s">
        <v>3</v>
      </c>
      <c r="Y2" s="52" t="s">
        <v>4</v>
      </c>
      <c r="Z2" s="28" t="s">
        <v>5</v>
      </c>
      <c r="AA2" s="29" t="s">
        <v>6</v>
      </c>
      <c r="AB2" s="28" t="s">
        <v>7</v>
      </c>
      <c r="AC2" s="28" t="s">
        <v>8</v>
      </c>
      <c r="AD2" s="30" t="s">
        <v>2</v>
      </c>
      <c r="AE2" s="31" t="s">
        <v>3</v>
      </c>
      <c r="AF2" s="28" t="s">
        <v>4</v>
      </c>
      <c r="AG2" s="28" t="s">
        <v>5</v>
      </c>
    </row>
    <row r="3" spans="1:33" ht="85.5" customHeight="1">
      <c r="A3" s="32">
        <v>1</v>
      </c>
      <c r="B3" s="33" t="s">
        <v>9</v>
      </c>
      <c r="C3" s="385" t="s">
        <v>421</v>
      </c>
      <c r="D3" s="259"/>
      <c r="E3" s="259"/>
      <c r="F3" s="259"/>
      <c r="G3" s="259"/>
      <c r="H3" s="376" t="s">
        <v>422</v>
      </c>
      <c r="I3" s="251"/>
      <c r="J3" s="251"/>
      <c r="K3" s="251"/>
      <c r="L3" s="404"/>
      <c r="M3" s="573" t="s">
        <v>423</v>
      </c>
      <c r="N3" s="574"/>
      <c r="O3" s="575"/>
      <c r="P3" s="110">
        <v>1</v>
      </c>
      <c r="Q3" s="288" t="s">
        <v>424</v>
      </c>
      <c r="R3" s="278"/>
      <c r="S3" s="586"/>
      <c r="T3" s="207" t="s">
        <v>425</v>
      </c>
      <c r="U3" s="271"/>
      <c r="V3" s="272"/>
      <c r="W3" s="426" t="s">
        <v>426</v>
      </c>
      <c r="X3" s="564"/>
      <c r="Y3" s="564"/>
      <c r="Z3" s="426" t="s">
        <v>427</v>
      </c>
      <c r="AA3" s="564"/>
      <c r="AB3" s="564"/>
      <c r="AC3" s="576" t="s">
        <v>428</v>
      </c>
      <c r="AD3" s="577"/>
      <c r="AE3" s="231" t="s">
        <v>429</v>
      </c>
      <c r="AF3" s="232"/>
      <c r="AG3" s="233"/>
    </row>
    <row r="4" spans="1:33" ht="85.5" customHeight="1">
      <c r="A4" s="34">
        <v>2</v>
      </c>
      <c r="B4" s="33" t="s">
        <v>9</v>
      </c>
      <c r="C4" s="194" t="s">
        <v>348</v>
      </c>
      <c r="D4" s="281" t="s">
        <v>430</v>
      </c>
      <c r="E4" s="282"/>
      <c r="F4" s="379"/>
      <c r="G4" s="117">
        <v>1</v>
      </c>
      <c r="H4" s="132">
        <v>1</v>
      </c>
      <c r="I4" s="257" t="s">
        <v>431</v>
      </c>
      <c r="J4" s="257"/>
      <c r="K4" s="257"/>
      <c r="L4" s="256"/>
      <c r="M4" s="256"/>
      <c r="N4" s="149">
        <v>1</v>
      </c>
      <c r="O4" s="376" t="s">
        <v>432</v>
      </c>
      <c r="P4" s="251"/>
      <c r="Q4" s="377"/>
      <c r="R4" s="115">
        <v>1</v>
      </c>
      <c r="S4" s="370" t="s">
        <v>433</v>
      </c>
      <c r="T4" s="246"/>
      <c r="U4" s="246"/>
      <c r="V4" s="246"/>
      <c r="W4" s="255"/>
      <c r="X4" s="470" t="s">
        <v>434</v>
      </c>
      <c r="Y4" s="232"/>
      <c r="Z4" s="232"/>
      <c r="AA4" s="232"/>
      <c r="AB4" s="394"/>
      <c r="AC4" s="158">
        <v>1</v>
      </c>
      <c r="AD4" s="397" t="s">
        <v>435</v>
      </c>
      <c r="AE4" s="398"/>
      <c r="AF4" s="398"/>
      <c r="AG4" s="398"/>
    </row>
    <row r="5" spans="1:33" ht="89.65" customHeight="1">
      <c r="A5" s="34">
        <v>3</v>
      </c>
      <c r="B5" s="33" t="s">
        <v>29</v>
      </c>
      <c r="C5" s="215" t="s">
        <v>355</v>
      </c>
      <c r="D5" s="255"/>
      <c r="E5" s="246"/>
      <c r="F5" s="246"/>
      <c r="G5" s="371"/>
      <c r="H5" s="258" t="s">
        <v>436</v>
      </c>
      <c r="I5" s="259"/>
      <c r="J5" s="85">
        <v>1</v>
      </c>
      <c r="K5" s="258" t="s">
        <v>437</v>
      </c>
      <c r="L5" s="259"/>
      <c r="M5" s="259"/>
      <c r="N5" s="386"/>
      <c r="O5" s="256" t="s">
        <v>438</v>
      </c>
      <c r="P5" s="256"/>
      <c r="Q5" s="242"/>
      <c r="R5" s="135"/>
      <c r="S5" s="470" t="s">
        <v>439</v>
      </c>
      <c r="T5" s="232"/>
      <c r="U5" s="232"/>
      <c r="V5" s="394"/>
      <c r="W5" s="39">
        <v>1</v>
      </c>
      <c r="X5" s="587" t="s">
        <v>440</v>
      </c>
      <c r="Y5" s="294"/>
      <c r="Z5" s="295"/>
      <c r="AA5" s="266" t="s">
        <v>441</v>
      </c>
      <c r="AB5" s="598"/>
      <c r="AC5" s="599"/>
      <c r="AD5" s="370" t="s">
        <v>442</v>
      </c>
      <c r="AE5" s="246"/>
      <c r="AF5" s="246"/>
      <c r="AG5" s="298"/>
    </row>
    <row r="6" spans="1:33" ht="108" customHeight="1">
      <c r="A6" s="34">
        <v>4</v>
      </c>
      <c r="B6" s="33" t="s">
        <v>37</v>
      </c>
      <c r="C6" s="215" t="s">
        <v>362</v>
      </c>
      <c r="D6" s="279"/>
      <c r="E6" s="126"/>
      <c r="F6" s="262" t="s">
        <v>443</v>
      </c>
      <c r="G6" s="262"/>
      <c r="H6" s="262"/>
      <c r="I6" s="568"/>
      <c r="J6" s="569" t="s">
        <v>444</v>
      </c>
      <c r="K6" s="570"/>
      <c r="L6" s="570"/>
      <c r="M6" s="571"/>
      <c r="N6" s="571"/>
      <c r="O6" s="572"/>
      <c r="P6" s="39">
        <v>1</v>
      </c>
      <c r="Q6" s="262" t="s">
        <v>445</v>
      </c>
      <c r="R6" s="263"/>
      <c r="S6" s="263"/>
      <c r="T6" s="578"/>
      <c r="U6" s="207" t="s">
        <v>446</v>
      </c>
      <c r="V6" s="271"/>
      <c r="W6" s="272"/>
      <c r="X6" s="585" t="s">
        <v>447</v>
      </c>
      <c r="Y6" s="268"/>
      <c r="Z6" s="268"/>
      <c r="AA6" s="268"/>
      <c r="AB6" s="128"/>
      <c r="AC6" s="166"/>
      <c r="AD6" s="200" t="s">
        <v>448</v>
      </c>
      <c r="AE6" s="200"/>
      <c r="AF6" s="200"/>
      <c r="AG6" s="167"/>
    </row>
    <row r="7" spans="1:33" ht="85.5" customHeight="1">
      <c r="A7" s="34">
        <v>5</v>
      </c>
      <c r="B7" s="33" t="s">
        <v>37</v>
      </c>
      <c r="C7" s="192" t="s">
        <v>371</v>
      </c>
      <c r="D7" s="254" t="s">
        <v>449</v>
      </c>
      <c r="E7" s="255"/>
      <c r="F7" s="298"/>
      <c r="G7" s="118">
        <v>1</v>
      </c>
      <c r="H7" s="112">
        <v>1</v>
      </c>
      <c r="I7" s="257" t="s">
        <v>450</v>
      </c>
      <c r="J7" s="257"/>
      <c r="K7" s="257"/>
      <c r="L7" s="257"/>
      <c r="M7" s="139">
        <v>1</v>
      </c>
      <c r="N7" s="110">
        <v>1</v>
      </c>
      <c r="O7" s="262" t="s">
        <v>451</v>
      </c>
      <c r="P7" s="263"/>
      <c r="Q7" s="558"/>
      <c r="R7" s="582" t="s">
        <v>452</v>
      </c>
      <c r="S7" s="583"/>
      <c r="T7" s="583"/>
      <c r="U7" s="583"/>
      <c r="V7" s="584"/>
      <c r="W7" s="573" t="s">
        <v>453</v>
      </c>
      <c r="X7" s="208"/>
      <c r="Y7" s="211"/>
      <c r="Z7" s="212"/>
      <c r="AA7" s="168">
        <v>1</v>
      </c>
      <c r="AB7" s="609" t="s">
        <v>454</v>
      </c>
      <c r="AC7" s="610"/>
      <c r="AD7" s="610"/>
      <c r="AE7" s="120">
        <v>1</v>
      </c>
      <c r="AF7" s="120">
        <v>1</v>
      </c>
      <c r="AG7" s="120">
        <v>1</v>
      </c>
    </row>
    <row r="8" spans="1:33" ht="103.35" customHeight="1">
      <c r="A8" s="34">
        <v>6</v>
      </c>
      <c r="B8" s="33" t="s">
        <v>9</v>
      </c>
      <c r="C8" s="215" t="s">
        <v>455</v>
      </c>
      <c r="D8" s="279"/>
      <c r="E8" s="279"/>
      <c r="F8" s="279"/>
      <c r="G8" s="279"/>
      <c r="H8" s="216"/>
      <c r="I8" s="246"/>
      <c r="J8" s="246"/>
      <c r="K8" s="246"/>
      <c r="L8" s="110">
        <v>1</v>
      </c>
      <c r="M8" s="559" t="s">
        <v>456</v>
      </c>
      <c r="N8" s="278"/>
      <c r="O8" s="560"/>
      <c r="P8" s="561"/>
      <c r="Q8" s="579" t="s">
        <v>457</v>
      </c>
      <c r="R8" s="580"/>
      <c r="S8" s="580"/>
      <c r="T8" s="580"/>
      <c r="U8" s="580"/>
      <c r="V8" s="581"/>
      <c r="W8" s="114">
        <v>1</v>
      </c>
      <c r="X8" s="132">
        <v>1</v>
      </c>
      <c r="Y8" s="257" t="s">
        <v>458</v>
      </c>
      <c r="Z8" s="257"/>
      <c r="AA8" s="257"/>
      <c r="AB8" s="256"/>
      <c r="AC8" s="256"/>
      <c r="AD8" s="402"/>
      <c r="AE8" s="397" t="s">
        <v>459</v>
      </c>
      <c r="AF8" s="398"/>
      <c r="AG8" s="398"/>
    </row>
    <row r="9" spans="1:33" ht="77.45" customHeight="1">
      <c r="A9" s="34">
        <v>7</v>
      </c>
      <c r="B9" s="33" t="s">
        <v>9</v>
      </c>
      <c r="C9" s="286" t="s">
        <v>460</v>
      </c>
      <c r="D9" s="297"/>
      <c r="E9" s="388" t="s">
        <v>461</v>
      </c>
      <c r="F9" s="279"/>
      <c r="G9" s="279"/>
      <c r="H9" s="257" t="s">
        <v>438</v>
      </c>
      <c r="I9" s="257"/>
      <c r="J9" s="261"/>
      <c r="K9" s="261"/>
      <c r="L9" s="261"/>
      <c r="M9" s="242"/>
      <c r="N9" s="141"/>
      <c r="O9" s="565" t="s">
        <v>462</v>
      </c>
      <c r="P9" s="565"/>
      <c r="Q9" s="370"/>
      <c r="R9" s="262" t="s">
        <v>463</v>
      </c>
      <c r="S9" s="263"/>
      <c r="T9" s="263"/>
      <c r="U9" s="564"/>
      <c r="V9" s="607" t="s">
        <v>464</v>
      </c>
      <c r="W9" s="217"/>
      <c r="X9" s="218" t="s">
        <v>465</v>
      </c>
      <c r="Y9" s="246"/>
      <c r="Z9" s="255"/>
      <c r="AA9" s="298"/>
      <c r="AB9" s="254" t="s">
        <v>466</v>
      </c>
      <c r="AC9" s="255"/>
      <c r="AD9" s="371"/>
      <c r="AE9" s="120">
        <v>1</v>
      </c>
      <c r="AF9" s="258" t="s">
        <v>467</v>
      </c>
      <c r="AG9" s="522"/>
    </row>
    <row r="10" spans="1:33" ht="85.5" customHeight="1">
      <c r="A10" s="34">
        <v>8</v>
      </c>
      <c r="B10" s="35" t="s">
        <v>9</v>
      </c>
      <c r="C10" s="562" t="s">
        <v>468</v>
      </c>
      <c r="D10" s="563"/>
      <c r="E10" s="563"/>
      <c r="F10" s="554" t="s">
        <v>469</v>
      </c>
      <c r="G10" s="555"/>
      <c r="H10" s="556"/>
      <c r="I10" s="557"/>
      <c r="J10" s="57">
        <v>1</v>
      </c>
      <c r="K10" s="57">
        <v>1</v>
      </c>
      <c r="L10" s="57">
        <v>1</v>
      </c>
      <c r="M10" s="251" t="s">
        <v>470</v>
      </c>
      <c r="N10" s="251"/>
      <c r="O10" s="404"/>
      <c r="P10" s="404" t="s">
        <v>471</v>
      </c>
      <c r="Q10" s="257"/>
      <c r="R10" s="256"/>
      <c r="S10" s="242"/>
      <c r="T10" s="160" t="s">
        <v>472</v>
      </c>
      <c r="U10" s="262" t="s">
        <v>473</v>
      </c>
      <c r="V10" s="263"/>
      <c r="W10" s="263"/>
      <c r="X10" s="263"/>
      <c r="Y10" s="564"/>
      <c r="Z10" s="134">
        <v>1</v>
      </c>
      <c r="AA10" s="218" t="s">
        <v>474</v>
      </c>
      <c r="AB10" s="216"/>
      <c r="AC10" s="589"/>
      <c r="AD10" s="467" t="s">
        <v>475</v>
      </c>
      <c r="AE10" s="360"/>
      <c r="AF10" s="360"/>
      <c r="AG10" s="468"/>
    </row>
    <row r="11" spans="1:33" ht="85.5" customHeight="1">
      <c r="A11" s="34">
        <v>9</v>
      </c>
      <c r="B11" s="35" t="s">
        <v>29</v>
      </c>
      <c r="C11" s="424" t="s">
        <v>392</v>
      </c>
      <c r="D11" s="425"/>
      <c r="E11" s="425"/>
      <c r="F11" s="591"/>
      <c r="G11" s="129">
        <v>1</v>
      </c>
      <c r="H11" s="130">
        <v>1</v>
      </c>
      <c r="I11" s="542" t="s">
        <v>476</v>
      </c>
      <c r="J11" s="543"/>
      <c r="K11" s="588"/>
      <c r="L11" s="78">
        <v>1</v>
      </c>
      <c r="M11" s="565" t="s">
        <v>470</v>
      </c>
      <c r="N11" s="565"/>
      <c r="O11" s="565"/>
      <c r="P11" s="611" t="s">
        <v>477</v>
      </c>
      <c r="Q11" s="604"/>
      <c r="R11" s="612"/>
      <c r="S11" s="262" t="s">
        <v>478</v>
      </c>
      <c r="T11" s="263"/>
      <c r="U11" s="603"/>
      <c r="V11" s="252" t="s">
        <v>479</v>
      </c>
      <c r="W11" s="252"/>
      <c r="X11" s="252"/>
      <c r="Y11" s="257" t="s">
        <v>480</v>
      </c>
      <c r="Z11" s="257"/>
      <c r="AA11" s="257"/>
      <c r="AB11" s="257"/>
      <c r="AC11" s="227" t="s">
        <v>481</v>
      </c>
      <c r="AD11" s="608"/>
      <c r="AE11" s="608"/>
      <c r="AF11" s="608"/>
      <c r="AG11" s="189" t="s">
        <v>482</v>
      </c>
    </row>
    <row r="12" spans="1:33" ht="85.5" customHeight="1">
      <c r="A12" s="34">
        <v>10</v>
      </c>
      <c r="B12" s="33" t="s">
        <v>37</v>
      </c>
      <c r="C12" s="197" t="s">
        <v>397</v>
      </c>
      <c r="D12" s="385" t="s">
        <v>436</v>
      </c>
      <c r="E12" s="283"/>
      <c r="F12" s="283"/>
      <c r="G12" s="207" t="s">
        <v>483</v>
      </c>
      <c r="H12" s="270"/>
      <c r="I12" s="212"/>
      <c r="J12" s="131">
        <v>1</v>
      </c>
      <c r="K12" s="424" t="s">
        <v>484</v>
      </c>
      <c r="L12" s="460"/>
      <c r="M12" s="590"/>
      <c r="N12" s="250" t="s">
        <v>485</v>
      </c>
      <c r="O12" s="251"/>
      <c r="P12" s="251"/>
      <c r="Q12" s="251"/>
      <c r="R12" s="538"/>
      <c r="S12" s="258" t="s">
        <v>486</v>
      </c>
      <c r="T12" s="259"/>
      <c r="U12" s="521"/>
      <c r="V12" s="269" t="s">
        <v>487</v>
      </c>
      <c r="W12" s="604"/>
      <c r="X12" s="605"/>
      <c r="Y12" s="600" t="s">
        <v>488</v>
      </c>
      <c r="Z12" s="557"/>
      <c r="AA12" s="601"/>
      <c r="AB12" s="602"/>
      <c r="AC12" s="123">
        <v>1</v>
      </c>
      <c r="AD12" s="123">
        <v>1</v>
      </c>
      <c r="AE12" s="123">
        <v>1</v>
      </c>
      <c r="AF12" s="123">
        <v>1</v>
      </c>
      <c r="AG12" s="117">
        <v>1</v>
      </c>
    </row>
    <row r="13" spans="1:33" ht="85.5" customHeight="1">
      <c r="A13" s="34">
        <v>11</v>
      </c>
      <c r="B13" s="33" t="s">
        <v>37</v>
      </c>
      <c r="C13" s="215" t="s">
        <v>489</v>
      </c>
      <c r="D13" s="279"/>
      <c r="E13" s="279"/>
      <c r="F13" s="589"/>
      <c r="G13" s="138"/>
      <c r="H13" s="592" t="s">
        <v>490</v>
      </c>
      <c r="I13" s="592"/>
      <c r="J13" s="592"/>
      <c r="K13" s="593"/>
      <c r="L13" s="147" t="s">
        <v>491</v>
      </c>
      <c r="M13" s="594" t="s">
        <v>492</v>
      </c>
      <c r="N13" s="595"/>
      <c r="O13" s="595"/>
      <c r="P13" s="596"/>
      <c r="Q13" s="142"/>
      <c r="R13" s="84"/>
      <c r="S13" s="84"/>
      <c r="T13" s="84"/>
      <c r="U13" s="84"/>
      <c r="V13" s="159"/>
      <c r="W13" s="84"/>
      <c r="X13" s="84"/>
      <c r="Y13" s="84"/>
      <c r="Z13" s="84"/>
      <c r="AA13" s="138"/>
      <c r="AB13" s="200" t="s">
        <v>493</v>
      </c>
      <c r="AC13" s="264"/>
      <c r="AD13" s="264"/>
      <c r="AE13" s="264"/>
      <c r="AF13" s="103"/>
      <c r="AG13" s="191" t="s">
        <v>494</v>
      </c>
    </row>
    <row r="14" spans="1:33" ht="85.5" customHeight="1">
      <c r="A14" s="34">
        <v>12</v>
      </c>
      <c r="B14" s="33" t="s">
        <v>9</v>
      </c>
      <c r="C14" s="194" t="s">
        <v>411</v>
      </c>
      <c r="D14" s="116">
        <v>1</v>
      </c>
      <c r="E14" s="137">
        <v>1</v>
      </c>
      <c r="F14" s="592" t="s">
        <v>495</v>
      </c>
      <c r="G14" s="592"/>
      <c r="H14" s="597"/>
      <c r="I14" s="587" t="s">
        <v>496</v>
      </c>
      <c r="J14" s="294"/>
      <c r="K14" s="295"/>
      <c r="L14" s="587" t="s">
        <v>497</v>
      </c>
      <c r="M14" s="237"/>
      <c r="N14" s="237"/>
      <c r="O14" s="237"/>
      <c r="P14" s="237"/>
      <c r="Q14" s="238"/>
      <c r="R14" s="606" t="s">
        <v>498</v>
      </c>
      <c r="S14" s="238"/>
      <c r="T14" s="255" t="s">
        <v>499</v>
      </c>
      <c r="U14" s="255"/>
      <c r="V14" s="390"/>
      <c r="W14" s="118">
        <v>1</v>
      </c>
      <c r="X14" s="245" t="s">
        <v>500</v>
      </c>
      <c r="Y14" s="246"/>
      <c r="Z14" s="371"/>
      <c r="AA14" s="116">
        <v>1</v>
      </c>
      <c r="AB14" s="112">
        <v>1</v>
      </c>
      <c r="AC14" s="200" t="s">
        <v>501</v>
      </c>
      <c r="AD14" s="264"/>
      <c r="AE14" s="264"/>
      <c r="AF14" s="264"/>
      <c r="AG14" s="170" t="s">
        <v>502</v>
      </c>
    </row>
    <row r="15" spans="1:33" ht="85.5" customHeight="1">
      <c r="A15" s="34" t="s">
        <v>111</v>
      </c>
      <c r="B15" s="33" t="s">
        <v>112</v>
      </c>
      <c r="C15" s="215" t="s">
        <v>503</v>
      </c>
      <c r="D15" s="279"/>
      <c r="E15" s="225"/>
      <c r="F15" s="118">
        <v>1</v>
      </c>
      <c r="G15" s="112">
        <v>1</v>
      </c>
      <c r="H15" s="262" t="s">
        <v>504</v>
      </c>
      <c r="I15" s="263"/>
      <c r="J15" s="263"/>
      <c r="K15" s="140" t="s">
        <v>505</v>
      </c>
      <c r="L15" s="542" t="s">
        <v>506</v>
      </c>
      <c r="M15" s="543"/>
      <c r="N15" s="543"/>
      <c r="O15" s="544"/>
      <c r="P15" s="133">
        <v>1</v>
      </c>
      <c r="Q15" s="243" t="s">
        <v>507</v>
      </c>
      <c r="R15" s="566"/>
      <c r="S15" s="567"/>
      <c r="T15" s="213" t="s">
        <v>508</v>
      </c>
      <c r="U15" s="214"/>
      <c r="V15" s="227"/>
      <c r="W15" s="116">
        <v>1</v>
      </c>
      <c r="X15" s="116">
        <v>1</v>
      </c>
      <c r="Y15" s="389" t="s">
        <v>509</v>
      </c>
      <c r="Z15" s="282"/>
      <c r="AA15" s="282"/>
      <c r="AB15" s="297"/>
      <c r="AC15" s="132">
        <v>1</v>
      </c>
      <c r="AD15" s="262" t="s">
        <v>510</v>
      </c>
      <c r="AE15" s="263"/>
      <c r="AF15" s="263"/>
      <c r="AG15" s="263"/>
    </row>
    <row r="16" spans="1:33" ht="84.95" customHeight="1">
      <c r="A16" s="36"/>
      <c r="B16" s="37"/>
      <c r="C16" s="38">
        <f>(31*13-SUM(C17:AG20))/(31*13)</f>
        <v>0.88833746898263022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9"/>
      <c r="AB16" s="39"/>
      <c r="AC16" s="39"/>
      <c r="AD16" s="39"/>
      <c r="AE16" s="39"/>
      <c r="AF16" s="39"/>
      <c r="AG16" s="39"/>
    </row>
    <row r="17" spans="1:33" ht="85.5" customHeight="1">
      <c r="A17" s="2"/>
      <c r="B17" s="3" t="s">
        <v>121</v>
      </c>
      <c r="C17" s="2">
        <f t="shared" ref="C17:AG17" si="0">C28+C34</f>
        <v>0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1</v>
      </c>
      <c r="H17" s="4">
        <f t="shared" si="0"/>
        <v>1</v>
      </c>
      <c r="I17" s="4">
        <f t="shared" si="0"/>
        <v>0</v>
      </c>
      <c r="J17" s="4">
        <f t="shared" si="0"/>
        <v>1</v>
      </c>
      <c r="K17" s="4">
        <f t="shared" si="0"/>
        <v>0</v>
      </c>
      <c r="L17" s="4">
        <f t="shared" si="0"/>
        <v>1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1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si="0"/>
        <v>0</v>
      </c>
    </row>
    <row r="18" spans="1:33" ht="85.5" customHeight="1">
      <c r="A18" s="2"/>
      <c r="B18" s="3" t="s">
        <v>122</v>
      </c>
      <c r="C18" s="2">
        <f t="shared" ref="C18:AG18" si="1">C26+C27+C31+C32+C33+C37</f>
        <v>0</v>
      </c>
      <c r="D18" s="2">
        <f t="shared" si="1"/>
        <v>1</v>
      </c>
      <c r="E18" s="4">
        <f t="shared" si="1"/>
        <v>1</v>
      </c>
      <c r="F18" s="4">
        <f t="shared" si="1"/>
        <v>0</v>
      </c>
      <c r="G18" s="4">
        <f t="shared" si="1"/>
        <v>1</v>
      </c>
      <c r="H18" s="4">
        <f t="shared" si="1"/>
        <v>1</v>
      </c>
      <c r="I18" s="4">
        <f t="shared" si="1"/>
        <v>0</v>
      </c>
      <c r="J18" s="4">
        <f t="shared" si="1"/>
        <v>1</v>
      </c>
      <c r="K18" s="4">
        <f t="shared" si="1"/>
        <v>1</v>
      </c>
      <c r="L18" s="4">
        <f t="shared" si="1"/>
        <v>2</v>
      </c>
      <c r="M18" s="4">
        <f t="shared" si="1"/>
        <v>0</v>
      </c>
      <c r="N18" s="4">
        <f t="shared" si="1"/>
        <v>1</v>
      </c>
      <c r="O18" s="4">
        <f t="shared" si="1"/>
        <v>0</v>
      </c>
      <c r="P18" s="4">
        <f t="shared" si="1"/>
        <v>1</v>
      </c>
      <c r="Q18" s="4">
        <f t="shared" si="1"/>
        <v>0</v>
      </c>
      <c r="R18" s="4">
        <f t="shared" si="1"/>
        <v>1</v>
      </c>
      <c r="S18" s="4">
        <f t="shared" si="1"/>
        <v>0</v>
      </c>
      <c r="T18" s="4">
        <f t="shared" si="1"/>
        <v>0</v>
      </c>
      <c r="U18" s="4">
        <f t="shared" si="1"/>
        <v>0</v>
      </c>
      <c r="V18" s="4">
        <f t="shared" si="1"/>
        <v>0</v>
      </c>
      <c r="W18" s="4">
        <f t="shared" si="1"/>
        <v>2</v>
      </c>
      <c r="X18" s="4">
        <f t="shared" si="1"/>
        <v>1</v>
      </c>
      <c r="Y18" s="4">
        <f t="shared" si="1"/>
        <v>0</v>
      </c>
      <c r="Z18" s="4">
        <f t="shared" si="1"/>
        <v>1</v>
      </c>
      <c r="AA18" s="4">
        <f t="shared" si="1"/>
        <v>1</v>
      </c>
      <c r="AB18" s="4">
        <f t="shared" si="1"/>
        <v>1</v>
      </c>
      <c r="AC18" s="4">
        <f t="shared" si="1"/>
        <v>1</v>
      </c>
      <c r="AD18" s="4">
        <f t="shared" si="1"/>
        <v>0</v>
      </c>
      <c r="AE18" s="4">
        <f t="shared" si="1"/>
        <v>1</v>
      </c>
      <c r="AF18" s="4">
        <f t="shared" si="1"/>
        <v>0</v>
      </c>
      <c r="AG18" s="4">
        <f t="shared" si="1"/>
        <v>0</v>
      </c>
    </row>
    <row r="19" spans="1:33" ht="85.5" customHeight="1">
      <c r="A19" s="2"/>
      <c r="B19" s="3" t="s">
        <v>123</v>
      </c>
      <c r="C19" s="2">
        <f t="shared" ref="C19:AG19" si="2">C29+C30+C35+C36</f>
        <v>0</v>
      </c>
      <c r="D19" s="2">
        <f t="shared" si="2"/>
        <v>0</v>
      </c>
      <c r="E19" s="4">
        <f t="shared" si="2"/>
        <v>0</v>
      </c>
      <c r="F19" s="4">
        <f t="shared" si="2"/>
        <v>0</v>
      </c>
      <c r="G19" s="4">
        <f t="shared" si="2"/>
        <v>1</v>
      </c>
      <c r="H19" s="4">
        <f t="shared" si="2"/>
        <v>1</v>
      </c>
      <c r="I19" s="4">
        <f t="shared" si="2"/>
        <v>0</v>
      </c>
      <c r="J19" s="4">
        <f t="shared" si="2"/>
        <v>1</v>
      </c>
      <c r="K19" s="4">
        <f t="shared" si="2"/>
        <v>0</v>
      </c>
      <c r="L19" s="4">
        <f t="shared" si="2"/>
        <v>0</v>
      </c>
      <c r="M19" s="4">
        <f t="shared" si="2"/>
        <v>1</v>
      </c>
      <c r="N19" s="4">
        <f t="shared" si="2"/>
        <v>1</v>
      </c>
      <c r="O19" s="4">
        <f t="shared" si="2"/>
        <v>0</v>
      </c>
      <c r="P19" s="4">
        <f t="shared" si="2"/>
        <v>1</v>
      </c>
      <c r="Q19" s="4">
        <f t="shared" si="2"/>
        <v>0</v>
      </c>
      <c r="R19" s="4">
        <f t="shared" si="2"/>
        <v>0</v>
      </c>
      <c r="S19" s="4">
        <f t="shared" si="2"/>
        <v>0</v>
      </c>
      <c r="T19" s="4">
        <f t="shared" si="2"/>
        <v>0</v>
      </c>
      <c r="U19" s="4">
        <f t="shared" si="2"/>
        <v>0</v>
      </c>
      <c r="V19" s="4">
        <f t="shared" si="2"/>
        <v>0</v>
      </c>
      <c r="W19" s="4">
        <f t="shared" si="2"/>
        <v>0</v>
      </c>
      <c r="X19" s="4">
        <f t="shared" si="2"/>
        <v>0</v>
      </c>
      <c r="Y19" s="4">
        <f t="shared" si="2"/>
        <v>0</v>
      </c>
      <c r="Z19" s="4">
        <f t="shared" si="2"/>
        <v>0</v>
      </c>
      <c r="AA19" s="4">
        <f t="shared" si="2"/>
        <v>1</v>
      </c>
      <c r="AB19" s="4">
        <f t="shared" si="2"/>
        <v>0</v>
      </c>
      <c r="AC19" s="4">
        <f t="shared" si="2"/>
        <v>1</v>
      </c>
      <c r="AD19" s="4">
        <f t="shared" si="2"/>
        <v>1</v>
      </c>
      <c r="AE19" s="4">
        <f t="shared" si="2"/>
        <v>2</v>
      </c>
      <c r="AF19" s="4">
        <f t="shared" si="2"/>
        <v>2</v>
      </c>
      <c r="AG19" s="4">
        <f t="shared" si="2"/>
        <v>2</v>
      </c>
    </row>
    <row r="20" spans="1:33" ht="85.5" customHeight="1">
      <c r="A20" s="2"/>
      <c r="B20" s="3" t="s">
        <v>124</v>
      </c>
      <c r="C20" s="2">
        <f t="shared" ref="C20:AG20" si="3">C38</f>
        <v>0</v>
      </c>
      <c r="D20" s="2">
        <f t="shared" si="3"/>
        <v>0</v>
      </c>
      <c r="E20" s="4">
        <f t="shared" si="3"/>
        <v>0</v>
      </c>
      <c r="F20" s="4">
        <f t="shared" si="3"/>
        <v>1</v>
      </c>
      <c r="G20" s="4">
        <f t="shared" si="3"/>
        <v>1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1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1</v>
      </c>
      <c r="X20" s="4">
        <f t="shared" si="3"/>
        <v>1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1</v>
      </c>
      <c r="AD20" s="4">
        <f t="shared" si="3"/>
        <v>0</v>
      </c>
      <c r="AE20" s="4">
        <f t="shared" si="3"/>
        <v>0</v>
      </c>
      <c r="AF20" s="4">
        <f t="shared" si="3"/>
        <v>0</v>
      </c>
      <c r="AG20" s="4">
        <f t="shared" si="3"/>
        <v>0</v>
      </c>
    </row>
    <row r="21" spans="1:33" ht="85.5" customHeight="1">
      <c r="C21" s="41">
        <f t="shared" ref="C21:AG21" si="4">SUM(C17:C20)</f>
        <v>0</v>
      </c>
      <c r="D21" s="41">
        <f t="shared" si="4"/>
        <v>1</v>
      </c>
      <c r="E21" s="41">
        <f t="shared" si="4"/>
        <v>1</v>
      </c>
      <c r="F21" s="41">
        <f t="shared" si="4"/>
        <v>1</v>
      </c>
      <c r="G21" s="41">
        <f t="shared" si="4"/>
        <v>4</v>
      </c>
      <c r="H21" s="41">
        <f t="shared" si="4"/>
        <v>3</v>
      </c>
      <c r="I21" s="41">
        <f t="shared" si="4"/>
        <v>0</v>
      </c>
      <c r="J21" s="41">
        <f t="shared" si="4"/>
        <v>3</v>
      </c>
      <c r="K21" s="41">
        <f t="shared" si="4"/>
        <v>1</v>
      </c>
      <c r="L21" s="41">
        <f t="shared" si="4"/>
        <v>3</v>
      </c>
      <c r="M21" s="41">
        <f t="shared" si="4"/>
        <v>1</v>
      </c>
      <c r="N21" s="41">
        <f t="shared" si="4"/>
        <v>2</v>
      </c>
      <c r="O21" s="41">
        <f t="shared" si="4"/>
        <v>0</v>
      </c>
      <c r="P21" s="41">
        <f t="shared" si="4"/>
        <v>3</v>
      </c>
      <c r="Q21" s="41">
        <f t="shared" si="4"/>
        <v>0</v>
      </c>
      <c r="R21" s="41">
        <f t="shared" si="4"/>
        <v>1</v>
      </c>
      <c r="S21" s="41">
        <f t="shared" si="4"/>
        <v>0</v>
      </c>
      <c r="T21" s="41">
        <f t="shared" si="4"/>
        <v>0</v>
      </c>
      <c r="U21" s="41">
        <f t="shared" si="4"/>
        <v>0</v>
      </c>
      <c r="V21" s="41">
        <f t="shared" si="4"/>
        <v>0</v>
      </c>
      <c r="W21" s="41">
        <f t="shared" si="4"/>
        <v>4</v>
      </c>
      <c r="X21" s="41">
        <f t="shared" si="4"/>
        <v>2</v>
      </c>
      <c r="Y21" s="41">
        <f t="shared" si="4"/>
        <v>0</v>
      </c>
      <c r="Z21" s="41">
        <f t="shared" si="4"/>
        <v>1</v>
      </c>
      <c r="AA21" s="41">
        <f t="shared" si="4"/>
        <v>2</v>
      </c>
      <c r="AB21" s="41">
        <f t="shared" si="4"/>
        <v>1</v>
      </c>
      <c r="AC21" s="41">
        <f t="shared" si="4"/>
        <v>3</v>
      </c>
      <c r="AD21" s="41">
        <f t="shared" si="4"/>
        <v>1</v>
      </c>
      <c r="AE21" s="41">
        <f t="shared" si="4"/>
        <v>3</v>
      </c>
      <c r="AF21" s="41">
        <f t="shared" si="4"/>
        <v>2</v>
      </c>
      <c r="AG21" s="41">
        <f t="shared" si="4"/>
        <v>2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C34" si="5">IF(C3=1,1,0)</f>
        <v>0</v>
      </c>
      <c r="D26" s="40">
        <f t="shared" ref="D26:AG26" si="6">IF(D3=1,1,0)</f>
        <v>0</v>
      </c>
      <c r="E26" s="40">
        <f t="shared" si="6"/>
        <v>0</v>
      </c>
      <c r="F26" s="40">
        <f t="shared" si="6"/>
        <v>0</v>
      </c>
      <c r="G26" s="40">
        <f t="shared" si="6"/>
        <v>0</v>
      </c>
      <c r="H26" s="40">
        <f t="shared" si="6"/>
        <v>0</v>
      </c>
      <c r="I26" s="40">
        <f t="shared" si="6"/>
        <v>0</v>
      </c>
      <c r="J26" s="40">
        <f t="shared" si="6"/>
        <v>0</v>
      </c>
      <c r="K26" s="40">
        <f t="shared" si="6"/>
        <v>0</v>
      </c>
      <c r="L26" s="40">
        <f t="shared" si="6"/>
        <v>0</v>
      </c>
      <c r="M26" s="40">
        <f t="shared" ref="M26:S26" si="7">IF(M3=1,1,0)</f>
        <v>0</v>
      </c>
      <c r="N26" s="40">
        <f t="shared" si="7"/>
        <v>0</v>
      </c>
      <c r="O26" s="40">
        <f t="shared" si="7"/>
        <v>0</v>
      </c>
      <c r="P26" s="40">
        <f t="shared" si="7"/>
        <v>1</v>
      </c>
      <c r="Q26" s="40">
        <f t="shared" si="7"/>
        <v>0</v>
      </c>
      <c r="R26" s="40">
        <f t="shared" si="7"/>
        <v>0</v>
      </c>
      <c r="S26" s="40">
        <f t="shared" si="7"/>
        <v>0</v>
      </c>
      <c r="T26" s="40">
        <f t="shared" ref="T26:AE26" si="8">IF(T3=1,1,0)</f>
        <v>0</v>
      </c>
      <c r="U26" s="40">
        <f t="shared" si="8"/>
        <v>0</v>
      </c>
      <c r="V26" s="40">
        <f t="shared" si="8"/>
        <v>0</v>
      </c>
      <c r="W26" s="40">
        <f t="shared" si="8"/>
        <v>0</v>
      </c>
      <c r="X26" s="40">
        <f t="shared" si="8"/>
        <v>0</v>
      </c>
      <c r="Y26" s="40">
        <f t="shared" si="8"/>
        <v>0</v>
      </c>
      <c r="Z26" s="40">
        <f t="shared" si="8"/>
        <v>0</v>
      </c>
      <c r="AA26" s="40">
        <f t="shared" si="8"/>
        <v>0</v>
      </c>
      <c r="AB26" s="40">
        <f t="shared" si="8"/>
        <v>0</v>
      </c>
      <c r="AC26" s="40">
        <f t="shared" si="8"/>
        <v>0</v>
      </c>
      <c r="AD26" s="40">
        <f t="shared" si="8"/>
        <v>0</v>
      </c>
      <c r="AE26" s="40">
        <f t="shared" si="8"/>
        <v>0</v>
      </c>
      <c r="AF26" s="40">
        <f t="shared" ref="AF26" si="9">IF(AF3=1,1,0)</f>
        <v>0</v>
      </c>
      <c r="AG26" s="40">
        <f t="shared" si="6"/>
        <v>0</v>
      </c>
    </row>
    <row r="27" spans="1:33" ht="42" customHeight="1">
      <c r="B27" s="42">
        <v>2</v>
      </c>
      <c r="C27" s="40">
        <f t="shared" si="5"/>
        <v>0</v>
      </c>
      <c r="D27" s="40">
        <f t="shared" ref="D27:AG27" si="10">IF(D4=1,1,0)</f>
        <v>0</v>
      </c>
      <c r="E27" s="40">
        <f t="shared" si="10"/>
        <v>0</v>
      </c>
      <c r="F27" s="40">
        <f t="shared" si="10"/>
        <v>0</v>
      </c>
      <c r="G27" s="40">
        <f t="shared" si="10"/>
        <v>1</v>
      </c>
      <c r="H27" s="40">
        <f t="shared" si="10"/>
        <v>1</v>
      </c>
      <c r="I27" s="40">
        <f t="shared" si="10"/>
        <v>0</v>
      </c>
      <c r="J27" s="40">
        <f t="shared" si="10"/>
        <v>0</v>
      </c>
      <c r="K27" s="40">
        <f t="shared" si="10"/>
        <v>0</v>
      </c>
      <c r="L27" s="40">
        <f t="shared" si="10"/>
        <v>0</v>
      </c>
      <c r="M27" s="40">
        <f t="shared" ref="M27:S27" si="11">IF(M4=1,1,0)</f>
        <v>0</v>
      </c>
      <c r="N27" s="40">
        <f t="shared" si="11"/>
        <v>1</v>
      </c>
      <c r="O27" s="40">
        <f t="shared" si="11"/>
        <v>0</v>
      </c>
      <c r="P27" s="40">
        <f t="shared" si="11"/>
        <v>0</v>
      </c>
      <c r="Q27" s="40">
        <f t="shared" si="11"/>
        <v>0</v>
      </c>
      <c r="R27" s="40">
        <f t="shared" si="11"/>
        <v>1</v>
      </c>
      <c r="S27" s="40">
        <f t="shared" si="11"/>
        <v>0</v>
      </c>
      <c r="T27" s="40">
        <f t="shared" ref="T27:AE27" si="12">IF(T4=1,1,0)</f>
        <v>0</v>
      </c>
      <c r="U27" s="40">
        <f t="shared" si="12"/>
        <v>0</v>
      </c>
      <c r="V27" s="40">
        <f t="shared" si="12"/>
        <v>0</v>
      </c>
      <c r="W27" s="40">
        <f t="shared" si="12"/>
        <v>0</v>
      </c>
      <c r="X27" s="40">
        <f t="shared" si="12"/>
        <v>0</v>
      </c>
      <c r="Y27" s="40">
        <f t="shared" si="12"/>
        <v>0</v>
      </c>
      <c r="Z27" s="40">
        <f t="shared" si="12"/>
        <v>0</v>
      </c>
      <c r="AA27" s="40">
        <f t="shared" si="12"/>
        <v>0</v>
      </c>
      <c r="AB27" s="40">
        <f t="shared" si="12"/>
        <v>0</v>
      </c>
      <c r="AC27" s="40">
        <f t="shared" si="12"/>
        <v>1</v>
      </c>
      <c r="AD27" s="40">
        <f t="shared" si="12"/>
        <v>0</v>
      </c>
      <c r="AE27" s="40">
        <f t="shared" si="12"/>
        <v>0</v>
      </c>
      <c r="AF27" s="40">
        <f t="shared" ref="AF27" si="13">IF(AF4=1,1,0)</f>
        <v>0</v>
      </c>
      <c r="AG27" s="40">
        <f t="shared" si="10"/>
        <v>0</v>
      </c>
    </row>
    <row r="28" spans="1:33" ht="42" customHeight="1">
      <c r="B28" s="43">
        <v>3</v>
      </c>
      <c r="C28" s="40">
        <f t="shared" si="5"/>
        <v>0</v>
      </c>
      <c r="D28" s="40">
        <f t="shared" ref="D28:AG28" si="14">IF(D5=1,1,0)</f>
        <v>0</v>
      </c>
      <c r="E28" s="40">
        <f t="shared" si="14"/>
        <v>0</v>
      </c>
      <c r="F28" s="40">
        <f t="shared" si="14"/>
        <v>0</v>
      </c>
      <c r="G28" s="40">
        <f t="shared" si="14"/>
        <v>0</v>
      </c>
      <c r="H28" s="40">
        <f t="shared" si="14"/>
        <v>0</v>
      </c>
      <c r="I28" s="40">
        <f t="shared" si="14"/>
        <v>0</v>
      </c>
      <c r="J28" s="40">
        <f t="shared" si="14"/>
        <v>1</v>
      </c>
      <c r="K28" s="40">
        <f t="shared" si="14"/>
        <v>0</v>
      </c>
      <c r="L28" s="40">
        <f t="shared" si="14"/>
        <v>0</v>
      </c>
      <c r="M28" s="40">
        <f t="shared" ref="M28:S28" si="15">IF(M5=1,1,0)</f>
        <v>0</v>
      </c>
      <c r="N28" s="40">
        <f t="shared" si="15"/>
        <v>0</v>
      </c>
      <c r="O28" s="40">
        <f t="shared" si="15"/>
        <v>0</v>
      </c>
      <c r="P28" s="40">
        <f t="shared" si="15"/>
        <v>0</v>
      </c>
      <c r="Q28" s="40">
        <f t="shared" si="15"/>
        <v>0</v>
      </c>
      <c r="R28" s="40">
        <f t="shared" si="15"/>
        <v>0</v>
      </c>
      <c r="S28" s="40">
        <f t="shared" si="15"/>
        <v>0</v>
      </c>
      <c r="T28" s="40">
        <f t="shared" ref="T28:AE28" si="16">IF(T5=1,1,0)</f>
        <v>0</v>
      </c>
      <c r="U28" s="40">
        <f t="shared" si="16"/>
        <v>0</v>
      </c>
      <c r="V28" s="40">
        <f t="shared" si="16"/>
        <v>0</v>
      </c>
      <c r="W28" s="40">
        <f t="shared" si="16"/>
        <v>1</v>
      </c>
      <c r="X28" s="40">
        <f t="shared" si="16"/>
        <v>0</v>
      </c>
      <c r="Y28" s="40">
        <f t="shared" si="16"/>
        <v>0</v>
      </c>
      <c r="Z28" s="40">
        <f t="shared" si="16"/>
        <v>0</v>
      </c>
      <c r="AA28" s="40">
        <f t="shared" si="16"/>
        <v>0</v>
      </c>
      <c r="AB28" s="40">
        <f t="shared" si="16"/>
        <v>0</v>
      </c>
      <c r="AC28" s="40">
        <f t="shared" si="16"/>
        <v>0</v>
      </c>
      <c r="AD28" s="40">
        <f t="shared" si="16"/>
        <v>0</v>
      </c>
      <c r="AE28" s="40">
        <f t="shared" si="16"/>
        <v>0</v>
      </c>
      <c r="AF28" s="40">
        <f t="shared" ref="AF28" si="17">IF(AF5=1,1,0)</f>
        <v>0</v>
      </c>
      <c r="AG28" s="40">
        <f t="shared" si="14"/>
        <v>0</v>
      </c>
    </row>
    <row r="29" spans="1:33" ht="42" customHeight="1">
      <c r="B29" s="44">
        <v>4</v>
      </c>
      <c r="C29" s="40">
        <f t="shared" si="5"/>
        <v>0</v>
      </c>
      <c r="D29" s="40">
        <f t="shared" ref="D29:AG29" si="18">IF(D6=1,1,0)</f>
        <v>0</v>
      </c>
      <c r="E29" s="40">
        <f t="shared" si="18"/>
        <v>0</v>
      </c>
      <c r="F29" s="40">
        <f t="shared" si="18"/>
        <v>0</v>
      </c>
      <c r="G29" s="40">
        <f t="shared" si="18"/>
        <v>0</v>
      </c>
      <c r="H29" s="40">
        <f t="shared" si="18"/>
        <v>0</v>
      </c>
      <c r="I29" s="40">
        <f t="shared" si="18"/>
        <v>0</v>
      </c>
      <c r="J29" s="40">
        <f t="shared" si="18"/>
        <v>0</v>
      </c>
      <c r="K29" s="40">
        <f t="shared" si="18"/>
        <v>0</v>
      </c>
      <c r="L29" s="40">
        <f t="shared" si="18"/>
        <v>0</v>
      </c>
      <c r="M29" s="40">
        <f t="shared" ref="M29:S29" si="19">IF(M6=1,1,0)</f>
        <v>0</v>
      </c>
      <c r="N29" s="40">
        <f t="shared" si="19"/>
        <v>0</v>
      </c>
      <c r="O29" s="40">
        <f t="shared" si="19"/>
        <v>0</v>
      </c>
      <c r="P29" s="40">
        <f t="shared" si="19"/>
        <v>1</v>
      </c>
      <c r="Q29" s="40">
        <f t="shared" si="19"/>
        <v>0</v>
      </c>
      <c r="R29" s="40">
        <f t="shared" si="19"/>
        <v>0</v>
      </c>
      <c r="S29" s="40">
        <f t="shared" si="19"/>
        <v>0</v>
      </c>
      <c r="T29" s="40">
        <f t="shared" ref="T29:AE29" si="20">IF(T6=1,1,0)</f>
        <v>0</v>
      </c>
      <c r="U29" s="40">
        <f t="shared" si="20"/>
        <v>0</v>
      </c>
      <c r="V29" s="40">
        <f t="shared" si="20"/>
        <v>0</v>
      </c>
      <c r="W29" s="40">
        <f t="shared" si="20"/>
        <v>0</v>
      </c>
      <c r="X29" s="40">
        <f t="shared" si="20"/>
        <v>0</v>
      </c>
      <c r="Y29" s="40">
        <f t="shared" si="20"/>
        <v>0</v>
      </c>
      <c r="Z29" s="40">
        <f t="shared" si="20"/>
        <v>0</v>
      </c>
      <c r="AA29" s="40">
        <f t="shared" si="20"/>
        <v>0</v>
      </c>
      <c r="AB29" s="40">
        <f t="shared" si="20"/>
        <v>0</v>
      </c>
      <c r="AC29" s="40">
        <f t="shared" si="20"/>
        <v>0</v>
      </c>
      <c r="AD29" s="40">
        <f t="shared" si="20"/>
        <v>0</v>
      </c>
      <c r="AE29" s="40">
        <f t="shared" si="20"/>
        <v>0</v>
      </c>
      <c r="AF29" s="40">
        <f t="shared" ref="AF29" si="21">IF(AF6=1,1,0)</f>
        <v>0</v>
      </c>
      <c r="AG29" s="40">
        <f t="shared" si="18"/>
        <v>0</v>
      </c>
    </row>
    <row r="30" spans="1:33" ht="42" customHeight="1">
      <c r="B30" s="44">
        <v>5</v>
      </c>
      <c r="C30" s="40">
        <f t="shared" si="5"/>
        <v>0</v>
      </c>
      <c r="D30" s="40">
        <f t="shared" ref="D30:AG30" si="22">IF(D7=1,1,0)</f>
        <v>0</v>
      </c>
      <c r="E30" s="40">
        <f t="shared" si="22"/>
        <v>0</v>
      </c>
      <c r="F30" s="40">
        <f t="shared" si="22"/>
        <v>0</v>
      </c>
      <c r="G30" s="40">
        <f t="shared" si="22"/>
        <v>1</v>
      </c>
      <c r="H30" s="40">
        <f t="shared" ref="H30:L30" si="23">IF(H7=1,1,0)</f>
        <v>1</v>
      </c>
      <c r="I30" s="40">
        <f t="shared" si="23"/>
        <v>0</v>
      </c>
      <c r="J30" s="40">
        <f t="shared" si="23"/>
        <v>0</v>
      </c>
      <c r="K30" s="40">
        <f t="shared" si="23"/>
        <v>0</v>
      </c>
      <c r="L30" s="40">
        <f t="shared" si="23"/>
        <v>0</v>
      </c>
      <c r="M30" s="40">
        <f t="shared" ref="M30:S30" si="24">IF(M7=1,1,0)</f>
        <v>1</v>
      </c>
      <c r="N30" s="40">
        <f t="shared" si="24"/>
        <v>1</v>
      </c>
      <c r="O30" s="40">
        <f t="shared" si="24"/>
        <v>0</v>
      </c>
      <c r="P30" s="40">
        <f t="shared" si="24"/>
        <v>0</v>
      </c>
      <c r="Q30" s="40">
        <f t="shared" si="24"/>
        <v>0</v>
      </c>
      <c r="R30" s="40">
        <f t="shared" si="24"/>
        <v>0</v>
      </c>
      <c r="S30" s="40">
        <f t="shared" si="24"/>
        <v>0</v>
      </c>
      <c r="T30" s="40">
        <f t="shared" ref="T30:AE30" si="25">IF(T7=1,1,0)</f>
        <v>0</v>
      </c>
      <c r="U30" s="40">
        <f t="shared" si="25"/>
        <v>0</v>
      </c>
      <c r="V30" s="40">
        <f t="shared" si="25"/>
        <v>0</v>
      </c>
      <c r="W30" s="40">
        <f t="shared" si="25"/>
        <v>0</v>
      </c>
      <c r="X30" s="40">
        <f t="shared" si="25"/>
        <v>0</v>
      </c>
      <c r="Y30" s="40">
        <f t="shared" si="25"/>
        <v>0</v>
      </c>
      <c r="Z30" s="40">
        <f t="shared" si="25"/>
        <v>0</v>
      </c>
      <c r="AA30" s="40">
        <f t="shared" si="25"/>
        <v>1</v>
      </c>
      <c r="AB30" s="40">
        <f t="shared" si="25"/>
        <v>0</v>
      </c>
      <c r="AC30" s="40">
        <f t="shared" si="25"/>
        <v>0</v>
      </c>
      <c r="AD30" s="40">
        <f t="shared" si="25"/>
        <v>0</v>
      </c>
      <c r="AE30" s="40">
        <f t="shared" si="25"/>
        <v>1</v>
      </c>
      <c r="AF30" s="40">
        <f t="shared" ref="AF30" si="26">IF(AF7=1,1,0)</f>
        <v>1</v>
      </c>
      <c r="AG30" s="40">
        <f t="shared" si="22"/>
        <v>1</v>
      </c>
    </row>
    <row r="31" spans="1:33" ht="42" customHeight="1">
      <c r="B31" s="42">
        <v>6</v>
      </c>
      <c r="C31" s="40">
        <f t="shared" si="5"/>
        <v>0</v>
      </c>
      <c r="D31" s="40">
        <f t="shared" ref="D31:AG31" si="27">IF(D8=1,1,0)</f>
        <v>0</v>
      </c>
      <c r="E31" s="40">
        <f t="shared" si="27"/>
        <v>0</v>
      </c>
      <c r="F31" s="40">
        <f t="shared" si="27"/>
        <v>0</v>
      </c>
      <c r="G31" s="40">
        <f t="shared" si="27"/>
        <v>0</v>
      </c>
      <c r="H31" s="40">
        <f t="shared" ref="H31:L31" si="28">IF(H8=1,1,0)</f>
        <v>0</v>
      </c>
      <c r="I31" s="40">
        <f t="shared" si="28"/>
        <v>0</v>
      </c>
      <c r="J31" s="40">
        <f t="shared" si="28"/>
        <v>0</v>
      </c>
      <c r="K31" s="40">
        <f t="shared" si="28"/>
        <v>0</v>
      </c>
      <c r="L31" s="40">
        <f t="shared" si="28"/>
        <v>1</v>
      </c>
      <c r="M31" s="40">
        <f t="shared" ref="M31:S31" si="29">IF(M8=1,1,0)</f>
        <v>0</v>
      </c>
      <c r="N31" s="40">
        <f t="shared" si="29"/>
        <v>0</v>
      </c>
      <c r="O31" s="40">
        <f t="shared" si="29"/>
        <v>0</v>
      </c>
      <c r="P31" s="40">
        <f t="shared" si="29"/>
        <v>0</v>
      </c>
      <c r="Q31" s="40">
        <f t="shared" si="29"/>
        <v>0</v>
      </c>
      <c r="R31" s="40">
        <f t="shared" si="29"/>
        <v>0</v>
      </c>
      <c r="S31" s="40">
        <f t="shared" si="29"/>
        <v>0</v>
      </c>
      <c r="T31" s="40">
        <f t="shared" ref="T31:AE31" si="30">IF(T8=1,1,0)</f>
        <v>0</v>
      </c>
      <c r="U31" s="40">
        <f t="shared" si="30"/>
        <v>0</v>
      </c>
      <c r="V31" s="40">
        <f t="shared" si="30"/>
        <v>0</v>
      </c>
      <c r="W31" s="40">
        <f t="shared" si="30"/>
        <v>1</v>
      </c>
      <c r="X31" s="40">
        <f t="shared" si="30"/>
        <v>1</v>
      </c>
      <c r="Y31" s="40">
        <f t="shared" si="30"/>
        <v>0</v>
      </c>
      <c r="Z31" s="40">
        <f t="shared" si="30"/>
        <v>0</v>
      </c>
      <c r="AA31" s="40">
        <f t="shared" si="30"/>
        <v>0</v>
      </c>
      <c r="AB31" s="40">
        <f t="shared" si="30"/>
        <v>0</v>
      </c>
      <c r="AC31" s="40">
        <f t="shared" si="30"/>
        <v>0</v>
      </c>
      <c r="AD31" s="40">
        <f t="shared" si="30"/>
        <v>0</v>
      </c>
      <c r="AE31" s="40">
        <f t="shared" si="30"/>
        <v>0</v>
      </c>
      <c r="AF31" s="40">
        <f t="shared" ref="AF31" si="31">IF(AF8=1,1,0)</f>
        <v>0</v>
      </c>
      <c r="AG31" s="40">
        <f t="shared" si="27"/>
        <v>0</v>
      </c>
    </row>
    <row r="32" spans="1:33" ht="42" customHeight="1">
      <c r="B32" s="42">
        <v>7</v>
      </c>
      <c r="C32" s="40">
        <f t="shared" si="5"/>
        <v>0</v>
      </c>
      <c r="D32" s="40">
        <f t="shared" ref="D32:AG32" si="32">IF(D9=1,1,0)</f>
        <v>0</v>
      </c>
      <c r="E32" s="40">
        <f t="shared" si="32"/>
        <v>0</v>
      </c>
      <c r="F32" s="40">
        <f t="shared" si="32"/>
        <v>0</v>
      </c>
      <c r="G32" s="40">
        <f t="shared" si="32"/>
        <v>0</v>
      </c>
      <c r="H32" s="40">
        <f t="shared" ref="H32:L32" si="33">IF(H9=1,1,0)</f>
        <v>0</v>
      </c>
      <c r="I32" s="40">
        <f t="shared" si="33"/>
        <v>0</v>
      </c>
      <c r="J32" s="40">
        <f t="shared" si="33"/>
        <v>0</v>
      </c>
      <c r="K32" s="40">
        <f t="shared" si="33"/>
        <v>0</v>
      </c>
      <c r="L32" s="40">
        <f t="shared" si="33"/>
        <v>0</v>
      </c>
      <c r="M32" s="40">
        <f t="shared" ref="M32:S32" si="34">IF(M9=1,1,0)</f>
        <v>0</v>
      </c>
      <c r="N32" s="40">
        <f t="shared" si="34"/>
        <v>0</v>
      </c>
      <c r="O32" s="40">
        <f t="shared" si="34"/>
        <v>0</v>
      </c>
      <c r="P32" s="40">
        <f t="shared" si="34"/>
        <v>0</v>
      </c>
      <c r="Q32" s="40">
        <f t="shared" si="34"/>
        <v>0</v>
      </c>
      <c r="R32" s="40">
        <f t="shared" si="34"/>
        <v>0</v>
      </c>
      <c r="S32" s="40">
        <f t="shared" si="34"/>
        <v>0</v>
      </c>
      <c r="T32" s="40">
        <f t="shared" ref="T32:AE32" si="35">IF(T9=1,1,0)</f>
        <v>0</v>
      </c>
      <c r="U32" s="40">
        <f t="shared" si="35"/>
        <v>0</v>
      </c>
      <c r="V32" s="40">
        <f t="shared" si="35"/>
        <v>0</v>
      </c>
      <c r="W32" s="40">
        <f t="shared" si="35"/>
        <v>0</v>
      </c>
      <c r="X32" s="40">
        <f t="shared" si="35"/>
        <v>0</v>
      </c>
      <c r="Y32" s="40">
        <f t="shared" si="35"/>
        <v>0</v>
      </c>
      <c r="Z32" s="40">
        <f t="shared" si="35"/>
        <v>0</v>
      </c>
      <c r="AA32" s="40">
        <f t="shared" si="35"/>
        <v>0</v>
      </c>
      <c r="AB32" s="40">
        <f t="shared" si="35"/>
        <v>0</v>
      </c>
      <c r="AC32" s="40">
        <f t="shared" si="35"/>
        <v>0</v>
      </c>
      <c r="AD32" s="40">
        <f t="shared" si="35"/>
        <v>0</v>
      </c>
      <c r="AE32" s="40">
        <f t="shared" si="35"/>
        <v>1</v>
      </c>
      <c r="AF32" s="40">
        <f t="shared" ref="AF32" si="36">IF(AF9=1,1,0)</f>
        <v>0</v>
      </c>
      <c r="AG32" s="40">
        <f t="shared" si="32"/>
        <v>0</v>
      </c>
    </row>
    <row r="33" spans="2:33" ht="42" customHeight="1">
      <c r="B33" s="42">
        <v>8</v>
      </c>
      <c r="C33" s="40">
        <f t="shared" si="5"/>
        <v>0</v>
      </c>
      <c r="D33" s="40">
        <f t="shared" ref="D33:AG33" si="37">IF(D10=1,1,0)</f>
        <v>0</v>
      </c>
      <c r="E33" s="40">
        <f t="shared" si="37"/>
        <v>0</v>
      </c>
      <c r="F33" s="40">
        <f t="shared" si="37"/>
        <v>0</v>
      </c>
      <c r="G33" s="40">
        <f t="shared" si="37"/>
        <v>0</v>
      </c>
      <c r="H33" s="40">
        <f t="shared" ref="H33:L33" si="38">IF(H10=1,1,0)</f>
        <v>0</v>
      </c>
      <c r="I33" s="40">
        <f t="shared" si="38"/>
        <v>0</v>
      </c>
      <c r="J33" s="40">
        <f t="shared" si="38"/>
        <v>1</v>
      </c>
      <c r="K33" s="40">
        <f t="shared" si="38"/>
        <v>1</v>
      </c>
      <c r="L33" s="40">
        <f t="shared" si="38"/>
        <v>1</v>
      </c>
      <c r="M33" s="40">
        <f t="shared" ref="M33:S33" si="39">IF(M10=1,1,0)</f>
        <v>0</v>
      </c>
      <c r="N33" s="40">
        <f t="shared" si="39"/>
        <v>0</v>
      </c>
      <c r="O33" s="40">
        <f t="shared" si="39"/>
        <v>0</v>
      </c>
      <c r="P33" s="40">
        <f t="shared" si="39"/>
        <v>0</v>
      </c>
      <c r="Q33" s="40">
        <f t="shared" si="39"/>
        <v>0</v>
      </c>
      <c r="R33" s="40">
        <f t="shared" si="39"/>
        <v>0</v>
      </c>
      <c r="S33" s="40">
        <f t="shared" si="39"/>
        <v>0</v>
      </c>
      <c r="T33" s="40">
        <f t="shared" ref="T33:AE33" si="40">IF(T10=1,1,0)</f>
        <v>0</v>
      </c>
      <c r="U33" s="40">
        <f t="shared" si="40"/>
        <v>0</v>
      </c>
      <c r="V33" s="40">
        <f t="shared" si="40"/>
        <v>0</v>
      </c>
      <c r="W33" s="40">
        <f t="shared" si="40"/>
        <v>0</v>
      </c>
      <c r="X33" s="40">
        <f t="shared" si="40"/>
        <v>0</v>
      </c>
      <c r="Y33" s="40">
        <f t="shared" si="40"/>
        <v>0</v>
      </c>
      <c r="Z33" s="40">
        <f t="shared" si="40"/>
        <v>1</v>
      </c>
      <c r="AA33" s="40">
        <f t="shared" si="40"/>
        <v>0</v>
      </c>
      <c r="AB33" s="40">
        <f t="shared" si="40"/>
        <v>0</v>
      </c>
      <c r="AC33" s="40">
        <f t="shared" si="40"/>
        <v>0</v>
      </c>
      <c r="AD33" s="40">
        <f t="shared" si="40"/>
        <v>0</v>
      </c>
      <c r="AE33" s="40">
        <f t="shared" si="40"/>
        <v>0</v>
      </c>
      <c r="AF33" s="40">
        <f t="shared" ref="AF33" si="41">IF(AF10=1,1,0)</f>
        <v>0</v>
      </c>
      <c r="AG33" s="40">
        <f t="shared" si="37"/>
        <v>0</v>
      </c>
    </row>
    <row r="34" spans="2:33" ht="42" customHeight="1">
      <c r="B34" s="43">
        <v>9</v>
      </c>
      <c r="C34" s="40">
        <f t="shared" si="5"/>
        <v>0</v>
      </c>
      <c r="D34" s="40">
        <f t="shared" ref="D34:AG34" si="42">IF(D11=1,1,0)</f>
        <v>0</v>
      </c>
      <c r="E34" s="40">
        <f t="shared" si="42"/>
        <v>0</v>
      </c>
      <c r="F34" s="40">
        <f t="shared" si="42"/>
        <v>0</v>
      </c>
      <c r="G34" s="40">
        <f t="shared" si="42"/>
        <v>1</v>
      </c>
      <c r="H34" s="40">
        <f t="shared" ref="H34:L34" si="43">IF(H11=1,1,0)</f>
        <v>1</v>
      </c>
      <c r="I34" s="40">
        <f t="shared" si="43"/>
        <v>0</v>
      </c>
      <c r="J34" s="40">
        <f t="shared" si="43"/>
        <v>0</v>
      </c>
      <c r="K34" s="40">
        <f t="shared" si="43"/>
        <v>0</v>
      </c>
      <c r="L34" s="40">
        <f t="shared" si="43"/>
        <v>1</v>
      </c>
      <c r="M34" s="40">
        <f t="shared" ref="M34:S34" si="44">IF(M11=1,1,0)</f>
        <v>0</v>
      </c>
      <c r="N34" s="40">
        <f t="shared" si="44"/>
        <v>0</v>
      </c>
      <c r="O34" s="40">
        <f t="shared" si="44"/>
        <v>0</v>
      </c>
      <c r="P34" s="40">
        <f t="shared" si="44"/>
        <v>0</v>
      </c>
      <c r="Q34" s="40">
        <f t="shared" si="44"/>
        <v>0</v>
      </c>
      <c r="R34" s="40">
        <f t="shared" si="44"/>
        <v>0</v>
      </c>
      <c r="S34" s="40">
        <f t="shared" si="44"/>
        <v>0</v>
      </c>
      <c r="T34" s="40">
        <f t="shared" ref="T34:AE34" si="45">IF(T11=1,1,0)</f>
        <v>0</v>
      </c>
      <c r="U34" s="40">
        <f t="shared" si="45"/>
        <v>0</v>
      </c>
      <c r="V34" s="40">
        <f t="shared" si="45"/>
        <v>0</v>
      </c>
      <c r="W34" s="40">
        <f t="shared" si="45"/>
        <v>0</v>
      </c>
      <c r="X34" s="40">
        <f t="shared" si="45"/>
        <v>0</v>
      </c>
      <c r="Y34" s="40">
        <f t="shared" si="45"/>
        <v>0</v>
      </c>
      <c r="Z34" s="40">
        <f t="shared" si="45"/>
        <v>0</v>
      </c>
      <c r="AA34" s="40">
        <f t="shared" si="45"/>
        <v>0</v>
      </c>
      <c r="AB34" s="40">
        <f t="shared" si="45"/>
        <v>0</v>
      </c>
      <c r="AC34" s="40">
        <f t="shared" si="45"/>
        <v>0</v>
      </c>
      <c r="AD34" s="40">
        <f t="shared" si="45"/>
        <v>0</v>
      </c>
      <c r="AE34" s="40">
        <f t="shared" si="45"/>
        <v>0</v>
      </c>
      <c r="AF34" s="40">
        <f t="shared" ref="AF34" si="46">IF(AF11=1,1,0)</f>
        <v>0</v>
      </c>
      <c r="AG34" s="40">
        <f t="shared" si="42"/>
        <v>0</v>
      </c>
    </row>
    <row r="35" spans="2:33" ht="42" customHeight="1">
      <c r="B35" s="44">
        <v>10</v>
      </c>
      <c r="C35" s="40">
        <f t="shared" ref="C35:C38" si="47">IF(C12=1,1,0)</f>
        <v>0</v>
      </c>
      <c r="D35" s="40">
        <f t="shared" ref="D35:AG35" si="48">IF(D12=1,1,0)</f>
        <v>0</v>
      </c>
      <c r="E35" s="40">
        <f t="shared" si="48"/>
        <v>0</v>
      </c>
      <c r="F35" s="40">
        <f t="shared" si="48"/>
        <v>0</v>
      </c>
      <c r="G35" s="40">
        <f t="shared" si="48"/>
        <v>0</v>
      </c>
      <c r="H35" s="40">
        <f t="shared" ref="H35:L35" si="49">IF(H12=1,1,0)</f>
        <v>0</v>
      </c>
      <c r="I35" s="40">
        <f t="shared" si="49"/>
        <v>0</v>
      </c>
      <c r="J35" s="40">
        <f t="shared" si="49"/>
        <v>1</v>
      </c>
      <c r="K35" s="40">
        <f t="shared" si="49"/>
        <v>0</v>
      </c>
      <c r="L35" s="40">
        <f t="shared" si="49"/>
        <v>0</v>
      </c>
      <c r="M35" s="40">
        <f t="shared" ref="M35:AF35" si="50">IF(M12=1,1,0)</f>
        <v>0</v>
      </c>
      <c r="N35" s="40">
        <f t="shared" si="50"/>
        <v>0</v>
      </c>
      <c r="O35" s="40">
        <f t="shared" si="50"/>
        <v>0</v>
      </c>
      <c r="P35" s="40">
        <f t="shared" si="50"/>
        <v>0</v>
      </c>
      <c r="Q35" s="40">
        <f t="shared" si="50"/>
        <v>0</v>
      </c>
      <c r="R35" s="40">
        <f t="shared" si="50"/>
        <v>0</v>
      </c>
      <c r="S35" s="40">
        <f t="shared" si="50"/>
        <v>0</v>
      </c>
      <c r="T35" s="40">
        <f t="shared" ref="T35:AE35" si="51">IF(T12=1,1,0)</f>
        <v>0</v>
      </c>
      <c r="U35" s="40">
        <f t="shared" si="51"/>
        <v>0</v>
      </c>
      <c r="V35" s="40">
        <f t="shared" si="51"/>
        <v>0</v>
      </c>
      <c r="W35" s="40">
        <f t="shared" si="51"/>
        <v>0</v>
      </c>
      <c r="X35" s="40">
        <f t="shared" si="51"/>
        <v>0</v>
      </c>
      <c r="Y35" s="40">
        <f t="shared" si="51"/>
        <v>0</v>
      </c>
      <c r="Z35" s="40">
        <f t="shared" si="51"/>
        <v>0</v>
      </c>
      <c r="AA35" s="40">
        <f t="shared" si="51"/>
        <v>0</v>
      </c>
      <c r="AB35" s="40">
        <f t="shared" si="51"/>
        <v>0</v>
      </c>
      <c r="AC35" s="40">
        <f t="shared" si="51"/>
        <v>1</v>
      </c>
      <c r="AD35" s="40">
        <f t="shared" si="51"/>
        <v>1</v>
      </c>
      <c r="AE35" s="40">
        <f t="shared" si="51"/>
        <v>1</v>
      </c>
      <c r="AF35" s="40">
        <f t="shared" si="50"/>
        <v>1</v>
      </c>
      <c r="AG35" s="40">
        <f t="shared" si="48"/>
        <v>1</v>
      </c>
    </row>
    <row r="36" spans="2:33" ht="42" customHeight="1">
      <c r="B36" s="44">
        <v>11</v>
      </c>
      <c r="C36" s="40">
        <f t="shared" si="47"/>
        <v>0</v>
      </c>
      <c r="D36" s="40">
        <f t="shared" ref="D36:AG36" si="52">IF(D13=1,1,0)</f>
        <v>0</v>
      </c>
      <c r="E36" s="40">
        <f t="shared" si="52"/>
        <v>0</v>
      </c>
      <c r="F36" s="40">
        <f t="shared" si="52"/>
        <v>0</v>
      </c>
      <c r="G36" s="40">
        <f t="shared" si="52"/>
        <v>0</v>
      </c>
      <c r="H36" s="40">
        <f t="shared" ref="H36:L36" si="53">IF(H13=1,1,0)</f>
        <v>0</v>
      </c>
      <c r="I36" s="40">
        <f t="shared" si="53"/>
        <v>0</v>
      </c>
      <c r="J36" s="40">
        <f t="shared" si="53"/>
        <v>0</v>
      </c>
      <c r="K36" s="40">
        <f t="shared" si="53"/>
        <v>0</v>
      </c>
      <c r="L36" s="40">
        <f t="shared" si="53"/>
        <v>0</v>
      </c>
      <c r="M36" s="40">
        <f t="shared" ref="M36:AF36" si="54">IF(M13=1,1,0)</f>
        <v>0</v>
      </c>
      <c r="N36" s="40">
        <f t="shared" si="54"/>
        <v>0</v>
      </c>
      <c r="O36" s="40">
        <f t="shared" si="54"/>
        <v>0</v>
      </c>
      <c r="P36" s="40">
        <f t="shared" si="54"/>
        <v>0</v>
      </c>
      <c r="Q36" s="40">
        <f t="shared" si="54"/>
        <v>0</v>
      </c>
      <c r="R36" s="40">
        <f t="shared" si="54"/>
        <v>0</v>
      </c>
      <c r="S36" s="40">
        <f t="shared" si="54"/>
        <v>0</v>
      </c>
      <c r="T36" s="40">
        <f t="shared" ref="T36:AE36" si="55">IF(T13=1,1,0)</f>
        <v>0</v>
      </c>
      <c r="U36" s="40">
        <f t="shared" si="55"/>
        <v>0</v>
      </c>
      <c r="V36" s="40">
        <f t="shared" si="55"/>
        <v>0</v>
      </c>
      <c r="W36" s="40">
        <f t="shared" si="55"/>
        <v>0</v>
      </c>
      <c r="X36" s="40">
        <f t="shared" si="55"/>
        <v>0</v>
      </c>
      <c r="Y36" s="40">
        <f t="shared" si="55"/>
        <v>0</v>
      </c>
      <c r="Z36" s="40">
        <f t="shared" si="55"/>
        <v>0</v>
      </c>
      <c r="AA36" s="40">
        <f t="shared" si="55"/>
        <v>0</v>
      </c>
      <c r="AB36" s="40">
        <f t="shared" si="55"/>
        <v>0</v>
      </c>
      <c r="AC36" s="40">
        <f t="shared" si="55"/>
        <v>0</v>
      </c>
      <c r="AD36" s="40">
        <f t="shared" si="55"/>
        <v>0</v>
      </c>
      <c r="AE36" s="40">
        <f t="shared" si="55"/>
        <v>0</v>
      </c>
      <c r="AF36" s="40">
        <f t="shared" si="54"/>
        <v>0</v>
      </c>
      <c r="AG36" s="40">
        <f t="shared" si="52"/>
        <v>0</v>
      </c>
    </row>
    <row r="37" spans="2:33" ht="42" customHeight="1">
      <c r="B37" s="42">
        <v>12</v>
      </c>
      <c r="C37" s="40">
        <f t="shared" si="47"/>
        <v>0</v>
      </c>
      <c r="D37" s="40">
        <f t="shared" ref="D37:AG37" si="56">IF(D14=1,1,0)</f>
        <v>1</v>
      </c>
      <c r="E37" s="40">
        <f t="shared" si="56"/>
        <v>1</v>
      </c>
      <c r="F37" s="40">
        <f t="shared" si="56"/>
        <v>0</v>
      </c>
      <c r="G37" s="40">
        <f t="shared" si="56"/>
        <v>0</v>
      </c>
      <c r="H37" s="40">
        <f t="shared" ref="H37:L37" si="57">IF(H14=1,1,0)</f>
        <v>0</v>
      </c>
      <c r="I37" s="40">
        <f t="shared" si="57"/>
        <v>0</v>
      </c>
      <c r="J37" s="40">
        <f t="shared" si="57"/>
        <v>0</v>
      </c>
      <c r="K37" s="40">
        <f t="shared" si="57"/>
        <v>0</v>
      </c>
      <c r="L37" s="40">
        <f t="shared" si="57"/>
        <v>0</v>
      </c>
      <c r="M37" s="40">
        <f t="shared" ref="M37:AF37" si="58">IF(M14=1,1,0)</f>
        <v>0</v>
      </c>
      <c r="N37" s="40">
        <f t="shared" si="58"/>
        <v>0</v>
      </c>
      <c r="O37" s="40">
        <f t="shared" si="58"/>
        <v>0</v>
      </c>
      <c r="P37" s="40">
        <f t="shared" si="58"/>
        <v>0</v>
      </c>
      <c r="Q37" s="40">
        <f t="shared" si="58"/>
        <v>0</v>
      </c>
      <c r="R37" s="40">
        <f t="shared" si="58"/>
        <v>0</v>
      </c>
      <c r="S37" s="40">
        <f t="shared" si="58"/>
        <v>0</v>
      </c>
      <c r="T37" s="40">
        <f t="shared" ref="T37:AE37" si="59">IF(T14=1,1,0)</f>
        <v>0</v>
      </c>
      <c r="U37" s="40">
        <f t="shared" si="59"/>
        <v>0</v>
      </c>
      <c r="V37" s="40">
        <f t="shared" si="59"/>
        <v>0</v>
      </c>
      <c r="W37" s="40">
        <f t="shared" si="59"/>
        <v>1</v>
      </c>
      <c r="X37" s="40">
        <f t="shared" si="59"/>
        <v>0</v>
      </c>
      <c r="Y37" s="40">
        <f t="shared" si="59"/>
        <v>0</v>
      </c>
      <c r="Z37" s="40">
        <f t="shared" si="59"/>
        <v>0</v>
      </c>
      <c r="AA37" s="40">
        <f t="shared" si="59"/>
        <v>1</v>
      </c>
      <c r="AB37" s="40">
        <f t="shared" si="59"/>
        <v>1</v>
      </c>
      <c r="AC37" s="40">
        <f t="shared" si="59"/>
        <v>0</v>
      </c>
      <c r="AD37" s="40">
        <f t="shared" si="59"/>
        <v>0</v>
      </c>
      <c r="AE37" s="40">
        <f t="shared" si="59"/>
        <v>0</v>
      </c>
      <c r="AF37" s="40">
        <f t="shared" si="58"/>
        <v>0</v>
      </c>
      <c r="AG37" s="40">
        <f t="shared" si="56"/>
        <v>0</v>
      </c>
    </row>
    <row r="38" spans="2:33" ht="42" customHeight="1">
      <c r="B38" s="45" t="s">
        <v>111</v>
      </c>
      <c r="C38" s="40">
        <f t="shared" si="47"/>
        <v>0</v>
      </c>
      <c r="D38" s="40">
        <f t="shared" ref="D38:AG38" si="60">IF(D15=1,1,0)</f>
        <v>0</v>
      </c>
      <c r="E38" s="40">
        <f t="shared" si="60"/>
        <v>0</v>
      </c>
      <c r="F38" s="40">
        <f t="shared" si="60"/>
        <v>1</v>
      </c>
      <c r="G38" s="40">
        <f t="shared" si="60"/>
        <v>1</v>
      </c>
      <c r="H38" s="40">
        <f t="shared" ref="H38:L38" si="61">IF(H15=1,1,0)</f>
        <v>0</v>
      </c>
      <c r="I38" s="40">
        <f t="shared" si="61"/>
        <v>0</v>
      </c>
      <c r="J38" s="40">
        <f t="shared" si="61"/>
        <v>0</v>
      </c>
      <c r="K38" s="40">
        <f t="shared" si="61"/>
        <v>0</v>
      </c>
      <c r="L38" s="40">
        <f t="shared" si="61"/>
        <v>0</v>
      </c>
      <c r="M38" s="40">
        <f t="shared" ref="M38:AF38" si="62">IF(M15=1,1,0)</f>
        <v>0</v>
      </c>
      <c r="N38" s="40">
        <f t="shared" si="62"/>
        <v>0</v>
      </c>
      <c r="O38" s="40">
        <f t="shared" si="62"/>
        <v>0</v>
      </c>
      <c r="P38" s="40">
        <f t="shared" si="62"/>
        <v>1</v>
      </c>
      <c r="Q38" s="40">
        <f t="shared" si="62"/>
        <v>0</v>
      </c>
      <c r="R38" s="40">
        <f t="shared" si="62"/>
        <v>0</v>
      </c>
      <c r="S38" s="40">
        <f t="shared" si="62"/>
        <v>0</v>
      </c>
      <c r="T38" s="40">
        <f t="shared" ref="T38:AE38" si="63">IF(T15=1,1,0)</f>
        <v>0</v>
      </c>
      <c r="U38" s="40">
        <f t="shared" si="63"/>
        <v>0</v>
      </c>
      <c r="V38" s="40">
        <f t="shared" si="63"/>
        <v>0</v>
      </c>
      <c r="W38" s="40">
        <f t="shared" si="63"/>
        <v>1</v>
      </c>
      <c r="X38" s="40">
        <f t="shared" si="63"/>
        <v>1</v>
      </c>
      <c r="Y38" s="40">
        <f t="shared" si="63"/>
        <v>0</v>
      </c>
      <c r="Z38" s="40">
        <f t="shared" si="63"/>
        <v>0</v>
      </c>
      <c r="AA38" s="40">
        <f t="shared" si="63"/>
        <v>0</v>
      </c>
      <c r="AB38" s="40">
        <f t="shared" si="63"/>
        <v>0</v>
      </c>
      <c r="AC38" s="40">
        <f t="shared" si="63"/>
        <v>1</v>
      </c>
      <c r="AD38" s="40">
        <f t="shared" si="63"/>
        <v>0</v>
      </c>
      <c r="AE38" s="40">
        <f t="shared" si="63"/>
        <v>0</v>
      </c>
      <c r="AF38" s="40">
        <f t="shared" si="62"/>
        <v>0</v>
      </c>
      <c r="AG38" s="40">
        <f t="shared" si="60"/>
        <v>0</v>
      </c>
    </row>
  </sheetData>
  <mergeCells count="90">
    <mergeCell ref="AB7:AD7"/>
    <mergeCell ref="AD6:AF6"/>
    <mergeCell ref="AB13:AE13"/>
    <mergeCell ref="I14:K14"/>
    <mergeCell ref="W7:Z7"/>
    <mergeCell ref="AC14:AF14"/>
    <mergeCell ref="AE8:AG8"/>
    <mergeCell ref="P11:R11"/>
    <mergeCell ref="Y11:AB11"/>
    <mergeCell ref="AB9:AD9"/>
    <mergeCell ref="X9:AA9"/>
    <mergeCell ref="AD10:AG10"/>
    <mergeCell ref="AA5:AC5"/>
    <mergeCell ref="Y15:AB15"/>
    <mergeCell ref="S12:U12"/>
    <mergeCell ref="Y12:AB12"/>
    <mergeCell ref="S11:U11"/>
    <mergeCell ref="T14:V14"/>
    <mergeCell ref="T15:V15"/>
    <mergeCell ref="X14:Z14"/>
    <mergeCell ref="V12:X12"/>
    <mergeCell ref="R14:S14"/>
    <mergeCell ref="U10:Y10"/>
    <mergeCell ref="V11:X11"/>
    <mergeCell ref="AA10:AC10"/>
    <mergeCell ref="V9:W9"/>
    <mergeCell ref="AC11:AF11"/>
    <mergeCell ref="AF9:AG9"/>
    <mergeCell ref="AD15:AG15"/>
    <mergeCell ref="C15:E15"/>
    <mergeCell ref="I11:K11"/>
    <mergeCell ref="N12:R12"/>
    <mergeCell ref="M11:O11"/>
    <mergeCell ref="D12:F12"/>
    <mergeCell ref="C13:F13"/>
    <mergeCell ref="K12:M12"/>
    <mergeCell ref="C11:F11"/>
    <mergeCell ref="L15:O15"/>
    <mergeCell ref="H15:J15"/>
    <mergeCell ref="H13:K13"/>
    <mergeCell ref="G12:I12"/>
    <mergeCell ref="M13:P13"/>
    <mergeCell ref="F14:H14"/>
    <mergeCell ref="L14:Q14"/>
    <mergeCell ref="O5:Q5"/>
    <mergeCell ref="Q8:V8"/>
    <mergeCell ref="T3:V3"/>
    <mergeCell ref="R7:V7"/>
    <mergeCell ref="U6:W6"/>
    <mergeCell ref="W3:Y3"/>
    <mergeCell ref="S4:W4"/>
    <mergeCell ref="X4:AB4"/>
    <mergeCell ref="Y8:AD8"/>
    <mergeCell ref="X6:AA6"/>
    <mergeCell ref="Q3:S3"/>
    <mergeCell ref="X5:Z5"/>
    <mergeCell ref="AD5:AG5"/>
    <mergeCell ref="S5:V5"/>
    <mergeCell ref="AE3:AG3"/>
    <mergeCell ref="Z3:AB3"/>
    <mergeCell ref="AD4:AG4"/>
    <mergeCell ref="Q15:S15"/>
    <mergeCell ref="C3:G3"/>
    <mergeCell ref="C6:D6"/>
    <mergeCell ref="C5:G5"/>
    <mergeCell ref="D4:F4"/>
    <mergeCell ref="I4:M4"/>
    <mergeCell ref="H3:L3"/>
    <mergeCell ref="H5:I5"/>
    <mergeCell ref="K5:N5"/>
    <mergeCell ref="F6:I6"/>
    <mergeCell ref="J6:O6"/>
    <mergeCell ref="O4:Q4"/>
    <mergeCell ref="M3:O3"/>
    <mergeCell ref="AC3:AD3"/>
    <mergeCell ref="Q6:T6"/>
    <mergeCell ref="C9:D9"/>
    <mergeCell ref="E9:G9"/>
    <mergeCell ref="F10:I10"/>
    <mergeCell ref="M10:O10"/>
    <mergeCell ref="I7:L7"/>
    <mergeCell ref="O7:Q7"/>
    <mergeCell ref="D7:F7"/>
    <mergeCell ref="C8:K8"/>
    <mergeCell ref="M8:P8"/>
    <mergeCell ref="H9:M9"/>
    <mergeCell ref="C10:E10"/>
    <mergeCell ref="P10:S10"/>
    <mergeCell ref="R9:U9"/>
    <mergeCell ref="O9:Q9"/>
  </mergeCells>
  <conditionalFormatting sqref="C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0B84-F9C2-4C95-BD0E-0AB99C44FEC0}">
  <sheetPr>
    <tabColor theme="4" tint="0.59999389629810485"/>
  </sheetPr>
  <dimension ref="A1:AF38"/>
  <sheetViews>
    <sheetView tabSelected="1" zoomScale="40" zoomScaleNormal="40" workbookViewId="0">
      <pane xSplit="2" ySplit="2" topLeftCell="N3" activePane="bottomRight" state="frozen"/>
      <selection pane="bottomRight" activeCell="AC7" sqref="AC7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4" width="15.5703125" style="26" customWidth="1"/>
    <col min="5" max="5" width="18.5703125" style="26" customWidth="1"/>
    <col min="6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6" width="30.140625" style="26" customWidth="1"/>
    <col min="17" max="19" width="19.5703125" style="26" customWidth="1"/>
    <col min="20" max="30" width="15.5703125" style="26" customWidth="1"/>
    <col min="31" max="31" width="15.28515625" style="26" customWidth="1"/>
    <col min="32" max="32" width="18" style="26" customWidth="1"/>
    <col min="33" max="16384" width="8.7109375" style="26"/>
  </cols>
  <sheetData>
    <row r="1" spans="1:32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</row>
    <row r="2" spans="1:32" ht="27.75" customHeight="1">
      <c r="A2" s="27"/>
      <c r="B2" s="27"/>
      <c r="C2" s="53" t="s">
        <v>6</v>
      </c>
      <c r="D2" s="52" t="s">
        <v>7</v>
      </c>
      <c r="E2" s="52" t="s">
        <v>8</v>
      </c>
      <c r="F2" s="50" t="s">
        <v>2</v>
      </c>
      <c r="G2" s="51" t="s">
        <v>3</v>
      </c>
      <c r="H2" s="52" t="s">
        <v>4</v>
      </c>
      <c r="I2" s="52" t="s">
        <v>5</v>
      </c>
      <c r="J2" s="53" t="s">
        <v>6</v>
      </c>
      <c r="K2" s="52" t="s">
        <v>7</v>
      </c>
      <c r="L2" s="52" t="s">
        <v>8</v>
      </c>
      <c r="M2" s="50" t="s">
        <v>2</v>
      </c>
      <c r="N2" s="51" t="s">
        <v>3</v>
      </c>
      <c r="O2" s="52" t="s">
        <v>4</v>
      </c>
      <c r="P2" s="52" t="s">
        <v>5</v>
      </c>
      <c r="Q2" s="53" t="s">
        <v>6</v>
      </c>
      <c r="R2" s="28" t="s">
        <v>7</v>
      </c>
      <c r="S2" s="28" t="s">
        <v>8</v>
      </c>
      <c r="T2" s="30" t="s">
        <v>2</v>
      </c>
      <c r="U2" s="31" t="s">
        <v>3</v>
      </c>
      <c r="V2" s="28" t="s">
        <v>4</v>
      </c>
      <c r="W2" s="28" t="s">
        <v>5</v>
      </c>
      <c r="X2" s="29" t="s">
        <v>6</v>
      </c>
      <c r="Y2" s="28" t="s">
        <v>7</v>
      </c>
      <c r="Z2" s="28" t="s">
        <v>8</v>
      </c>
      <c r="AA2" s="30" t="s">
        <v>2</v>
      </c>
      <c r="AB2" s="31" t="s">
        <v>3</v>
      </c>
      <c r="AC2" s="28" t="s">
        <v>4</v>
      </c>
      <c r="AD2" s="28" t="s">
        <v>5</v>
      </c>
      <c r="AE2" s="29" t="s">
        <v>6</v>
      </c>
      <c r="AF2" s="28" t="s">
        <v>7</v>
      </c>
    </row>
    <row r="3" spans="1:32" ht="85.5" customHeight="1">
      <c r="A3" s="32">
        <v>1</v>
      </c>
      <c r="B3" s="33" t="s">
        <v>9</v>
      </c>
      <c r="C3" s="57">
        <v>1</v>
      </c>
      <c r="D3" s="213" t="s">
        <v>511</v>
      </c>
      <c r="E3" s="214"/>
      <c r="F3" s="214"/>
      <c r="G3" s="214"/>
      <c r="H3" s="214"/>
      <c r="I3" s="200" t="s">
        <v>512</v>
      </c>
      <c r="J3" s="200"/>
      <c r="K3" s="200"/>
      <c r="L3" s="200"/>
      <c r="M3" s="200"/>
      <c r="N3" s="219" t="s">
        <v>513</v>
      </c>
      <c r="O3" s="220"/>
      <c r="P3" s="220"/>
      <c r="Q3" s="221"/>
      <c r="R3" s="231" t="s">
        <v>514</v>
      </c>
      <c r="S3" s="232"/>
      <c r="T3" s="233"/>
      <c r="U3" s="46">
        <v>1</v>
      </c>
      <c r="V3" s="281" t="s">
        <v>515</v>
      </c>
      <c r="W3" s="282"/>
      <c r="X3" s="297"/>
      <c r="Y3" s="46">
        <v>1</v>
      </c>
      <c r="Z3" s="46">
        <v>1</v>
      </c>
      <c r="AA3" s="46">
        <v>1</v>
      </c>
      <c r="AB3" s="46">
        <v>1</v>
      </c>
      <c r="AC3" s="291" t="s">
        <v>516</v>
      </c>
      <c r="AD3" s="292"/>
      <c r="AE3" s="293"/>
      <c r="AF3" s="46">
        <v>1</v>
      </c>
    </row>
    <row r="4" spans="1:32" ht="85.5" customHeight="1">
      <c r="A4" s="34">
        <v>2</v>
      </c>
      <c r="B4" s="33" t="s">
        <v>9</v>
      </c>
      <c r="C4" s="57">
        <v>1</v>
      </c>
      <c r="D4" s="215" t="s">
        <v>517</v>
      </c>
      <c r="E4" s="216"/>
      <c r="F4" s="216"/>
      <c r="G4" s="216"/>
      <c r="H4" s="217"/>
      <c r="I4" s="55">
        <v>1</v>
      </c>
      <c r="J4" s="236" t="s">
        <v>518</v>
      </c>
      <c r="K4" s="237"/>
      <c r="L4" s="238"/>
      <c r="M4" s="136">
        <v>1</v>
      </c>
      <c r="N4" s="222"/>
      <c r="O4" s="222"/>
      <c r="P4" s="222"/>
      <c r="Q4" s="222"/>
      <c r="R4" s="91">
        <v>1</v>
      </c>
      <c r="S4" s="91">
        <v>1</v>
      </c>
      <c r="T4" s="215" t="s">
        <v>519</v>
      </c>
      <c r="U4" s="279"/>
      <c r="V4" s="298"/>
      <c r="W4" s="91">
        <v>1</v>
      </c>
      <c r="X4" s="91">
        <v>1</v>
      </c>
      <c r="Y4" s="91">
        <v>1</v>
      </c>
      <c r="Z4" s="213" t="s">
        <v>520</v>
      </c>
      <c r="AA4" s="214"/>
      <c r="AB4" s="214"/>
      <c r="AC4" s="227"/>
      <c r="AD4" s="213" t="s">
        <v>521</v>
      </c>
      <c r="AE4" s="214"/>
      <c r="AF4" s="227"/>
    </row>
    <row r="5" spans="1:32" ht="108" customHeight="1">
      <c r="A5" s="34">
        <v>3</v>
      </c>
      <c r="B5" s="33" t="s">
        <v>29</v>
      </c>
      <c r="C5" s="215" t="s">
        <v>442</v>
      </c>
      <c r="D5" s="225"/>
      <c r="E5" s="165"/>
      <c r="F5" s="223" t="s">
        <v>522</v>
      </c>
      <c r="G5" s="224"/>
      <c r="H5" s="224"/>
      <c r="I5" s="224"/>
      <c r="J5" s="226" t="s">
        <v>523</v>
      </c>
      <c r="K5" s="214"/>
      <c r="L5" s="227"/>
      <c r="M5" s="241" t="s">
        <v>524</v>
      </c>
      <c r="N5" s="242"/>
      <c r="O5" s="242"/>
      <c r="P5" s="234" t="s">
        <v>525</v>
      </c>
      <c r="Q5" s="235"/>
      <c r="R5" s="84"/>
      <c r="S5" s="71"/>
      <c r="T5" s="269" t="s">
        <v>526</v>
      </c>
      <c r="U5" s="270"/>
      <c r="V5" s="271"/>
      <c r="W5" s="272"/>
      <c r="X5" s="108">
        <v>1</v>
      </c>
      <c r="Y5" s="215" t="s">
        <v>527</v>
      </c>
      <c r="Z5" s="279"/>
      <c r="AA5" s="279"/>
      <c r="AB5" s="23">
        <v>1</v>
      </c>
      <c r="AC5" s="23">
        <v>1</v>
      </c>
      <c r="AD5" s="281" t="s">
        <v>528</v>
      </c>
      <c r="AE5" s="282"/>
      <c r="AF5" s="297"/>
    </row>
    <row r="6" spans="1:32" ht="108" customHeight="1">
      <c r="A6" s="34">
        <v>4</v>
      </c>
      <c r="B6" s="33" t="s">
        <v>37</v>
      </c>
      <c r="C6" s="23">
        <v>1</v>
      </c>
      <c r="D6" s="23">
        <v>1</v>
      </c>
      <c r="E6" s="23">
        <v>1</v>
      </c>
      <c r="F6" s="47">
        <v>1</v>
      </c>
      <c r="G6" s="47">
        <v>1</v>
      </c>
      <c r="H6" s="107">
        <v>1</v>
      </c>
      <c r="I6" s="288" t="s">
        <v>529</v>
      </c>
      <c r="J6" s="278"/>
      <c r="K6" s="278"/>
      <c r="L6" s="289"/>
      <c r="M6" s="228" t="s">
        <v>530</v>
      </c>
      <c r="N6" s="229"/>
      <c r="O6" s="230"/>
      <c r="P6" s="119">
        <v>1</v>
      </c>
      <c r="Q6" s="277" t="s">
        <v>531</v>
      </c>
      <c r="R6" s="202"/>
      <c r="S6" s="202"/>
      <c r="T6" s="91">
        <v>1</v>
      </c>
      <c r="U6" s="91">
        <v>1</v>
      </c>
      <c r="V6" s="91">
        <v>1</v>
      </c>
      <c r="W6" s="91">
        <v>1</v>
      </c>
      <c r="X6" s="91">
        <v>1</v>
      </c>
      <c r="Y6" s="91">
        <v>1</v>
      </c>
      <c r="Z6" s="91">
        <v>1</v>
      </c>
      <c r="AA6" s="91">
        <v>1</v>
      </c>
      <c r="AB6" s="91">
        <v>1</v>
      </c>
      <c r="AC6" s="91">
        <v>1</v>
      </c>
      <c r="AD6" s="91">
        <v>1</v>
      </c>
      <c r="AE6" s="91">
        <v>1</v>
      </c>
      <c r="AF6" s="182" t="s">
        <v>532</v>
      </c>
    </row>
    <row r="7" spans="1:32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81" t="s">
        <v>533</v>
      </c>
      <c r="H7" s="282"/>
      <c r="I7" s="283"/>
      <c r="J7" s="55">
        <v>1</v>
      </c>
      <c r="K7" s="136">
        <v>1</v>
      </c>
      <c r="L7" s="250" t="s">
        <v>534</v>
      </c>
      <c r="M7" s="251"/>
      <c r="N7" s="251"/>
      <c r="O7" s="280"/>
      <c r="P7" s="169" t="s">
        <v>535</v>
      </c>
      <c r="Q7" s="290" t="s">
        <v>536</v>
      </c>
      <c r="R7" s="279"/>
      <c r="S7" s="225"/>
      <c r="T7" s="91">
        <v>1</v>
      </c>
      <c r="U7" s="91">
        <v>1</v>
      </c>
      <c r="V7" s="91">
        <v>1</v>
      </c>
      <c r="W7" s="91">
        <v>1</v>
      </c>
      <c r="X7" s="91">
        <v>1</v>
      </c>
      <c r="Y7" s="91">
        <v>1</v>
      </c>
      <c r="Z7" s="91">
        <v>1</v>
      </c>
      <c r="AA7" s="144">
        <v>1</v>
      </c>
      <c r="AB7" s="144">
        <v>1</v>
      </c>
      <c r="AC7" s="144">
        <v>1</v>
      </c>
      <c r="AD7" s="144">
        <v>1</v>
      </c>
      <c r="AE7" s="91">
        <v>1</v>
      </c>
      <c r="AF7" s="152" t="s">
        <v>537</v>
      </c>
    </row>
    <row r="8" spans="1:32" ht="103.35" customHeight="1">
      <c r="A8" s="34">
        <v>6</v>
      </c>
      <c r="B8" s="33" t="s">
        <v>9</v>
      </c>
      <c r="C8" s="23">
        <v>1</v>
      </c>
      <c r="D8" s="23">
        <v>1</v>
      </c>
      <c r="E8" s="23">
        <v>1</v>
      </c>
      <c r="F8" s="173" t="s">
        <v>538</v>
      </c>
      <c r="G8" s="281" t="s">
        <v>539</v>
      </c>
      <c r="H8" s="284"/>
      <c r="I8" s="284"/>
      <c r="J8" s="285"/>
      <c r="K8" s="200" t="s">
        <v>540</v>
      </c>
      <c r="L8" s="244"/>
      <c r="M8" s="244"/>
      <c r="N8" s="114">
        <v>1</v>
      </c>
      <c r="O8" s="239" t="s">
        <v>541</v>
      </c>
      <c r="P8" s="240"/>
      <c r="Q8" s="240"/>
      <c r="R8" s="91">
        <v>1</v>
      </c>
      <c r="S8" s="91">
        <v>1</v>
      </c>
      <c r="T8" s="215" t="s">
        <v>542</v>
      </c>
      <c r="U8" s="279"/>
      <c r="V8" s="298"/>
      <c r="W8" s="144">
        <v>1</v>
      </c>
      <c r="X8" s="277" t="s">
        <v>543</v>
      </c>
      <c r="Y8" s="202"/>
      <c r="Z8" s="202"/>
      <c r="AA8" s="121"/>
      <c r="AB8" s="121"/>
      <c r="AC8" s="121"/>
      <c r="AD8" s="121"/>
      <c r="AE8" s="294" t="s">
        <v>544</v>
      </c>
      <c r="AF8" s="295"/>
    </row>
    <row r="9" spans="1:32" ht="112.5" customHeight="1">
      <c r="A9" s="34">
        <v>7</v>
      </c>
      <c r="B9" s="33" t="s">
        <v>9</v>
      </c>
      <c r="C9" s="194" t="s">
        <v>467</v>
      </c>
      <c r="D9" s="213" t="s">
        <v>545</v>
      </c>
      <c r="E9" s="214"/>
      <c r="F9" s="214"/>
      <c r="G9" s="214"/>
      <c r="H9" s="249"/>
      <c r="I9" s="84"/>
      <c r="J9" s="207" t="s">
        <v>546</v>
      </c>
      <c r="K9" s="208"/>
      <c r="L9" s="209"/>
      <c r="M9" s="256" t="s">
        <v>547</v>
      </c>
      <c r="N9" s="257"/>
      <c r="O9" s="256"/>
      <c r="P9" s="91">
        <v>1</v>
      </c>
      <c r="Q9" s="243" t="s">
        <v>548</v>
      </c>
      <c r="R9" s="202"/>
      <c r="S9" s="203"/>
      <c r="T9" s="91">
        <v>1</v>
      </c>
      <c r="U9" s="215" t="s">
        <v>549</v>
      </c>
      <c r="V9" s="279"/>
      <c r="W9" s="298"/>
      <c r="X9" s="228" t="s">
        <v>550</v>
      </c>
      <c r="Y9" s="229"/>
      <c r="Z9" s="230"/>
      <c r="AA9" s="171">
        <v>1</v>
      </c>
      <c r="AB9" s="171">
        <v>1</v>
      </c>
      <c r="AC9" s="171">
        <v>1</v>
      </c>
      <c r="AD9" s="171">
        <v>1</v>
      </c>
      <c r="AE9" s="91">
        <v>1</v>
      </c>
      <c r="AF9" s="91">
        <v>1</v>
      </c>
    </row>
    <row r="10" spans="1:32" ht="85.5" customHeight="1">
      <c r="A10" s="34">
        <v>8</v>
      </c>
      <c r="B10" s="33" t="s">
        <v>9</v>
      </c>
      <c r="C10" s="218" t="s">
        <v>475</v>
      </c>
      <c r="D10" s="216"/>
      <c r="E10" s="216"/>
      <c r="F10" s="217"/>
      <c r="G10" s="65">
        <v>1</v>
      </c>
      <c r="H10" s="121"/>
      <c r="I10" s="207" t="s">
        <v>551</v>
      </c>
      <c r="J10" s="208"/>
      <c r="K10" s="209"/>
      <c r="L10" s="146">
        <v>1</v>
      </c>
      <c r="M10" s="258" t="s">
        <v>552</v>
      </c>
      <c r="N10" s="259"/>
      <c r="O10" s="259"/>
      <c r="P10" s="117">
        <v>1</v>
      </c>
      <c r="Q10" s="210" t="s">
        <v>553</v>
      </c>
      <c r="R10" s="211"/>
      <c r="S10" s="211"/>
      <c r="T10" s="212"/>
      <c r="U10" s="84"/>
      <c r="V10" s="84"/>
      <c r="W10" s="23">
        <v>1</v>
      </c>
      <c r="X10" s="302"/>
      <c r="Y10" s="303"/>
      <c r="Z10" s="304"/>
      <c r="AA10" s="299" t="s">
        <v>554</v>
      </c>
      <c r="AB10" s="300"/>
      <c r="AC10" s="300"/>
      <c r="AD10" s="301"/>
      <c r="AE10" s="91">
        <v>1</v>
      </c>
      <c r="AF10" s="91">
        <v>1</v>
      </c>
    </row>
    <row r="11" spans="1:32" ht="85.5" customHeight="1">
      <c r="A11" s="34">
        <v>9</v>
      </c>
      <c r="B11" s="35" t="s">
        <v>29</v>
      </c>
      <c r="C11" s="215" t="s">
        <v>482</v>
      </c>
      <c r="D11" s="279"/>
      <c r="E11" s="164" t="s">
        <v>555</v>
      </c>
      <c r="F11" s="84"/>
      <c r="G11" s="84"/>
      <c r="H11" s="71"/>
      <c r="I11" s="251" t="s">
        <v>556</v>
      </c>
      <c r="J11" s="251"/>
      <c r="K11" s="251"/>
      <c r="L11" s="251"/>
      <c r="M11" s="251"/>
      <c r="N11" s="251"/>
      <c r="O11" s="280"/>
      <c r="P11" s="146">
        <v>1</v>
      </c>
      <c r="Q11" s="154">
        <v>1</v>
      </c>
      <c r="R11" s="250" t="s">
        <v>557</v>
      </c>
      <c r="S11" s="251"/>
      <c r="T11" s="252"/>
      <c r="U11" s="253"/>
      <c r="V11" s="176">
        <v>1</v>
      </c>
      <c r="W11" s="286" t="s">
        <v>558</v>
      </c>
      <c r="X11" s="282"/>
      <c r="Y11" s="283"/>
      <c r="Z11" s="283"/>
      <c r="AA11" s="287"/>
      <c r="AB11" s="23">
        <v>1</v>
      </c>
      <c r="AC11" s="281" t="s">
        <v>559</v>
      </c>
      <c r="AD11" s="282"/>
      <c r="AE11" s="297"/>
      <c r="AF11" s="127"/>
    </row>
    <row r="12" spans="1:32" ht="85.5" customHeight="1">
      <c r="A12" s="34">
        <v>10</v>
      </c>
      <c r="B12" s="33" t="s">
        <v>37</v>
      </c>
      <c r="C12" s="23">
        <v>1</v>
      </c>
      <c r="D12" s="65">
        <v>1</v>
      </c>
      <c r="E12" s="64"/>
      <c r="F12" s="64"/>
      <c r="G12" s="64"/>
      <c r="H12" s="84"/>
      <c r="I12" s="119">
        <v>1</v>
      </c>
      <c r="J12" s="254" t="s">
        <v>560</v>
      </c>
      <c r="K12" s="255"/>
      <c r="L12" s="255"/>
      <c r="M12" s="255"/>
      <c r="N12" s="275" t="s">
        <v>561</v>
      </c>
      <c r="O12" s="276"/>
      <c r="P12" s="276"/>
      <c r="Q12" s="276"/>
      <c r="R12" s="276"/>
      <c r="S12" s="121"/>
      <c r="T12" s="121"/>
      <c r="U12" s="121"/>
      <c r="V12" s="204" t="s">
        <v>562</v>
      </c>
      <c r="W12" s="205"/>
      <c r="X12" s="205"/>
      <c r="Y12" s="206"/>
      <c r="Z12" s="91">
        <v>1</v>
      </c>
      <c r="AA12" s="91">
        <v>1</v>
      </c>
      <c r="AB12" s="91">
        <v>1</v>
      </c>
      <c r="AC12" s="91">
        <v>1</v>
      </c>
      <c r="AD12" s="91">
        <v>1</v>
      </c>
      <c r="AE12" s="91">
        <v>1</v>
      </c>
      <c r="AF12" s="91">
        <v>1</v>
      </c>
    </row>
    <row r="13" spans="1:32" ht="85.5" customHeight="1">
      <c r="A13" s="34">
        <v>11</v>
      </c>
      <c r="B13" s="33" t="s">
        <v>37</v>
      </c>
      <c r="C13" s="218" t="s">
        <v>494</v>
      </c>
      <c r="D13" s="216"/>
      <c r="E13" s="262" t="s">
        <v>563</v>
      </c>
      <c r="F13" s="263"/>
      <c r="G13" s="263"/>
      <c r="H13" s="260" t="s">
        <v>564</v>
      </c>
      <c r="I13" s="256"/>
      <c r="J13" s="257"/>
      <c r="K13" s="257"/>
      <c r="L13" s="257"/>
      <c r="M13" s="261"/>
      <c r="N13" s="267" t="s">
        <v>565</v>
      </c>
      <c r="O13" s="268"/>
      <c r="P13" s="268"/>
      <c r="Q13" s="268"/>
      <c r="R13" s="117">
        <v>1</v>
      </c>
      <c r="S13" s="277" t="s">
        <v>566</v>
      </c>
      <c r="T13" s="202"/>
      <c r="U13" s="296"/>
      <c r="V13" s="117">
        <v>1</v>
      </c>
      <c r="W13" s="117">
        <v>1</v>
      </c>
      <c r="X13" s="117">
        <v>1</v>
      </c>
      <c r="Y13" s="117">
        <v>1</v>
      </c>
      <c r="Z13" s="117">
        <v>1</v>
      </c>
      <c r="AA13" s="117">
        <v>1</v>
      </c>
      <c r="AB13" s="117">
        <v>1</v>
      </c>
      <c r="AC13" s="117">
        <v>1</v>
      </c>
      <c r="AD13" s="117">
        <v>1</v>
      </c>
      <c r="AE13" s="117">
        <v>1</v>
      </c>
      <c r="AF13" s="117">
        <v>1</v>
      </c>
    </row>
    <row r="14" spans="1:32" ht="85.5" customHeight="1">
      <c r="A14" s="34">
        <v>12</v>
      </c>
      <c r="B14" s="35" t="s">
        <v>9</v>
      </c>
      <c r="C14" s="200" t="s">
        <v>567</v>
      </c>
      <c r="D14" s="264"/>
      <c r="E14" s="265"/>
      <c r="F14" s="173" t="s">
        <v>538</v>
      </c>
      <c r="G14" s="55">
        <v>1</v>
      </c>
      <c r="H14" s="201" t="s">
        <v>568</v>
      </c>
      <c r="I14" s="202"/>
      <c r="J14" s="203"/>
      <c r="K14" s="57">
        <v>1</v>
      </c>
      <c r="L14" s="57">
        <v>1</v>
      </c>
      <c r="M14" s="266" t="s">
        <v>569</v>
      </c>
      <c r="N14" s="208"/>
      <c r="O14" s="209"/>
      <c r="P14" s="245" t="s">
        <v>570</v>
      </c>
      <c r="Q14" s="246"/>
      <c r="R14" s="247"/>
      <c r="S14" s="171">
        <v>1</v>
      </c>
      <c r="T14" s="171">
        <v>1</v>
      </c>
      <c r="U14" s="171">
        <v>1</v>
      </c>
      <c r="V14" s="171">
        <v>1</v>
      </c>
      <c r="W14" s="171">
        <v>1</v>
      </c>
      <c r="X14" s="171">
        <v>1</v>
      </c>
      <c r="Y14" s="171">
        <v>1</v>
      </c>
      <c r="Z14" s="171">
        <v>1</v>
      </c>
      <c r="AA14" s="171">
        <v>1</v>
      </c>
      <c r="AB14" s="121"/>
      <c r="AC14" s="91"/>
      <c r="AD14" s="91"/>
      <c r="AE14" s="248" t="s">
        <v>571</v>
      </c>
      <c r="AF14" s="227"/>
    </row>
    <row r="15" spans="1:32" ht="85.5" customHeight="1">
      <c r="A15" s="34" t="s">
        <v>111</v>
      </c>
      <c r="B15" s="33" t="s">
        <v>112</v>
      </c>
      <c r="C15" s="107">
        <v>1</v>
      </c>
      <c r="D15" s="200" t="s">
        <v>572</v>
      </c>
      <c r="E15" s="278"/>
      <c r="F15" s="278"/>
      <c r="G15" s="108">
        <v>1</v>
      </c>
      <c r="H15" s="23">
        <v>1</v>
      </c>
      <c r="I15" s="23">
        <v>1</v>
      </c>
      <c r="J15" s="286" t="s">
        <v>573</v>
      </c>
      <c r="K15" s="282"/>
      <c r="L15" s="283"/>
      <c r="M15" s="283"/>
      <c r="N15" s="287"/>
      <c r="O15" s="273" t="s">
        <v>574</v>
      </c>
      <c r="P15" s="274"/>
      <c r="Q15" s="215" t="s">
        <v>575</v>
      </c>
      <c r="R15" s="279"/>
      <c r="S15" s="225"/>
      <c r="T15" s="171">
        <v>1</v>
      </c>
      <c r="U15" s="171">
        <v>1</v>
      </c>
      <c r="V15" s="171">
        <v>1</v>
      </c>
      <c r="W15" s="171">
        <v>1</v>
      </c>
      <c r="X15" s="121"/>
      <c r="Y15" s="91"/>
      <c r="Z15" s="91"/>
      <c r="AA15" s="91"/>
      <c r="AB15" s="91"/>
      <c r="AC15" s="91"/>
      <c r="AD15" s="91"/>
      <c r="AE15" s="91"/>
      <c r="AF15" s="171">
        <v>1</v>
      </c>
    </row>
    <row r="16" spans="1:32" ht="84.95" customHeight="1">
      <c r="A16" s="36"/>
      <c r="B16" s="37"/>
      <c r="C16" s="38">
        <f>(30*13-SUM(C17:AF20))/(30*13)</f>
        <v>0.68461538461538463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85.5" customHeight="1">
      <c r="A17" s="2"/>
      <c r="B17" s="3" t="s">
        <v>121</v>
      </c>
      <c r="C17" s="2">
        <f t="shared" ref="C17:AF17" si="0">C28+C34</f>
        <v>0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1</v>
      </c>
      <c r="Q17" s="4">
        <f t="shared" si="0"/>
        <v>1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1</v>
      </c>
      <c r="W17" s="4">
        <f t="shared" si="0"/>
        <v>0</v>
      </c>
      <c r="X17" s="4">
        <f t="shared" si="0"/>
        <v>1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2</v>
      </c>
      <c r="AC17" s="4">
        <f t="shared" si="0"/>
        <v>1</v>
      </c>
      <c r="AD17" s="4">
        <f t="shared" si="0"/>
        <v>0</v>
      </c>
      <c r="AE17" s="4">
        <f t="shared" si="0"/>
        <v>0</v>
      </c>
      <c r="AF17" s="4">
        <f t="shared" si="0"/>
        <v>0</v>
      </c>
    </row>
    <row r="18" spans="1:32" ht="85.5" customHeight="1">
      <c r="A18" s="2"/>
      <c r="B18" s="3" t="s">
        <v>122</v>
      </c>
      <c r="C18" s="2">
        <f t="shared" ref="C18:AF18" si="1">C26+C27+C31+C32+C33+C37</f>
        <v>3</v>
      </c>
      <c r="D18" s="2">
        <f t="shared" si="1"/>
        <v>1</v>
      </c>
      <c r="E18" s="4">
        <f t="shared" si="1"/>
        <v>1</v>
      </c>
      <c r="F18" s="4">
        <f t="shared" si="1"/>
        <v>0</v>
      </c>
      <c r="G18" s="4">
        <f t="shared" si="1"/>
        <v>2</v>
      </c>
      <c r="H18" s="4">
        <f t="shared" si="1"/>
        <v>0</v>
      </c>
      <c r="I18" s="4">
        <f t="shared" si="1"/>
        <v>1</v>
      </c>
      <c r="J18" s="4">
        <f t="shared" si="1"/>
        <v>0</v>
      </c>
      <c r="K18" s="4">
        <f t="shared" si="1"/>
        <v>1</v>
      </c>
      <c r="L18" s="4">
        <f t="shared" si="1"/>
        <v>2</v>
      </c>
      <c r="M18" s="4">
        <f t="shared" si="1"/>
        <v>1</v>
      </c>
      <c r="N18" s="4">
        <f t="shared" si="1"/>
        <v>1</v>
      </c>
      <c r="O18" s="4">
        <f t="shared" si="1"/>
        <v>0</v>
      </c>
      <c r="P18" s="4">
        <f t="shared" si="1"/>
        <v>2</v>
      </c>
      <c r="Q18" s="4">
        <f t="shared" si="1"/>
        <v>0</v>
      </c>
      <c r="R18" s="4">
        <f t="shared" si="1"/>
        <v>2</v>
      </c>
      <c r="S18" s="4">
        <f t="shared" si="1"/>
        <v>3</v>
      </c>
      <c r="T18" s="4">
        <f t="shared" si="1"/>
        <v>2</v>
      </c>
      <c r="U18" s="4">
        <f t="shared" si="1"/>
        <v>2</v>
      </c>
      <c r="V18" s="4">
        <f t="shared" si="1"/>
        <v>1</v>
      </c>
      <c r="W18" s="4">
        <f t="shared" si="1"/>
        <v>4</v>
      </c>
      <c r="X18" s="4">
        <f t="shared" si="1"/>
        <v>2</v>
      </c>
      <c r="Y18" s="4">
        <f t="shared" si="1"/>
        <v>3</v>
      </c>
      <c r="Z18" s="4">
        <f t="shared" si="1"/>
        <v>2</v>
      </c>
      <c r="AA18" s="4">
        <f t="shared" si="1"/>
        <v>3</v>
      </c>
      <c r="AB18" s="4">
        <f t="shared" si="1"/>
        <v>2</v>
      </c>
      <c r="AC18" s="4">
        <f t="shared" si="1"/>
        <v>1</v>
      </c>
      <c r="AD18" s="4">
        <f t="shared" si="1"/>
        <v>1</v>
      </c>
      <c r="AE18" s="4">
        <f t="shared" si="1"/>
        <v>2</v>
      </c>
      <c r="AF18" s="4">
        <f t="shared" si="1"/>
        <v>3</v>
      </c>
    </row>
    <row r="19" spans="1:32" ht="85.5" customHeight="1">
      <c r="A19" s="2"/>
      <c r="B19" s="3" t="s">
        <v>123</v>
      </c>
      <c r="C19" s="2">
        <f t="shared" ref="C19:AF19" si="2">C29+C30+C35+C36</f>
        <v>3</v>
      </c>
      <c r="D19" s="2">
        <f t="shared" si="2"/>
        <v>3</v>
      </c>
      <c r="E19" s="4">
        <f t="shared" si="2"/>
        <v>2</v>
      </c>
      <c r="F19" s="4">
        <f t="shared" si="2"/>
        <v>2</v>
      </c>
      <c r="G19" s="4">
        <f t="shared" si="2"/>
        <v>1</v>
      </c>
      <c r="H19" s="4">
        <f t="shared" si="2"/>
        <v>1</v>
      </c>
      <c r="I19" s="4">
        <f t="shared" si="2"/>
        <v>1</v>
      </c>
      <c r="J19" s="4">
        <f t="shared" si="2"/>
        <v>1</v>
      </c>
      <c r="K19" s="4">
        <f t="shared" si="2"/>
        <v>1</v>
      </c>
      <c r="L19" s="4">
        <f t="shared" si="2"/>
        <v>0</v>
      </c>
      <c r="M19" s="4">
        <f t="shared" si="2"/>
        <v>0</v>
      </c>
      <c r="N19" s="4">
        <f t="shared" si="2"/>
        <v>0</v>
      </c>
      <c r="O19" s="4">
        <f t="shared" si="2"/>
        <v>0</v>
      </c>
      <c r="P19" s="4">
        <f t="shared" si="2"/>
        <v>1</v>
      </c>
      <c r="Q19" s="4">
        <f t="shared" si="2"/>
        <v>0</v>
      </c>
      <c r="R19" s="4">
        <f t="shared" si="2"/>
        <v>1</v>
      </c>
      <c r="S19" s="4">
        <f t="shared" si="2"/>
        <v>0</v>
      </c>
      <c r="T19" s="4">
        <f t="shared" si="2"/>
        <v>2</v>
      </c>
      <c r="U19" s="4">
        <f t="shared" si="2"/>
        <v>2</v>
      </c>
      <c r="V19" s="4">
        <f t="shared" si="2"/>
        <v>3</v>
      </c>
      <c r="W19" s="4">
        <f t="shared" si="2"/>
        <v>3</v>
      </c>
      <c r="X19" s="4">
        <f t="shared" si="2"/>
        <v>3</v>
      </c>
      <c r="Y19" s="4">
        <f t="shared" si="2"/>
        <v>3</v>
      </c>
      <c r="Z19" s="4">
        <f t="shared" si="2"/>
        <v>4</v>
      </c>
      <c r="AA19" s="4">
        <f t="shared" si="2"/>
        <v>4</v>
      </c>
      <c r="AB19" s="4">
        <f t="shared" si="2"/>
        <v>4</v>
      </c>
      <c r="AC19" s="4">
        <f t="shared" si="2"/>
        <v>4</v>
      </c>
      <c r="AD19" s="4">
        <f t="shared" si="2"/>
        <v>4</v>
      </c>
      <c r="AE19" s="4">
        <f t="shared" si="2"/>
        <v>4</v>
      </c>
      <c r="AF19" s="4">
        <f t="shared" si="2"/>
        <v>2</v>
      </c>
    </row>
    <row r="20" spans="1:32" ht="85.5" customHeight="1">
      <c r="A20" s="2"/>
      <c r="B20" s="3" t="s">
        <v>124</v>
      </c>
      <c r="C20" s="2">
        <f t="shared" ref="C20:AF20" si="3">C38</f>
        <v>1</v>
      </c>
      <c r="D20" s="2">
        <f t="shared" si="3"/>
        <v>0</v>
      </c>
      <c r="E20" s="4">
        <f t="shared" si="3"/>
        <v>0</v>
      </c>
      <c r="F20" s="4">
        <f t="shared" si="3"/>
        <v>0</v>
      </c>
      <c r="G20" s="4">
        <f t="shared" si="3"/>
        <v>1</v>
      </c>
      <c r="H20" s="4">
        <f t="shared" si="3"/>
        <v>1</v>
      </c>
      <c r="I20" s="4">
        <f t="shared" si="3"/>
        <v>1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1</v>
      </c>
      <c r="U20" s="4">
        <f t="shared" si="3"/>
        <v>1</v>
      </c>
      <c r="V20" s="4">
        <f t="shared" si="3"/>
        <v>1</v>
      </c>
      <c r="W20" s="4">
        <f t="shared" si="3"/>
        <v>1</v>
      </c>
      <c r="X20" s="4">
        <f t="shared" si="3"/>
        <v>0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  <c r="AE20" s="4">
        <f t="shared" si="3"/>
        <v>0</v>
      </c>
      <c r="AF20" s="4">
        <f t="shared" si="3"/>
        <v>1</v>
      </c>
    </row>
    <row r="21" spans="1:32" ht="85.5" customHeight="1">
      <c r="C21" s="41">
        <f t="shared" ref="C21:AF21" si="4">SUM(C17:C20)</f>
        <v>7</v>
      </c>
      <c r="D21" s="41">
        <f t="shared" si="4"/>
        <v>4</v>
      </c>
      <c r="E21" s="41">
        <f t="shared" si="4"/>
        <v>3</v>
      </c>
      <c r="F21" s="41">
        <f t="shared" si="4"/>
        <v>2</v>
      </c>
      <c r="G21" s="41">
        <f t="shared" si="4"/>
        <v>4</v>
      </c>
      <c r="H21" s="41">
        <f t="shared" si="4"/>
        <v>2</v>
      </c>
      <c r="I21" s="41">
        <f t="shared" si="4"/>
        <v>3</v>
      </c>
      <c r="J21" s="41">
        <f t="shared" si="4"/>
        <v>1</v>
      </c>
      <c r="K21" s="41">
        <f t="shared" si="4"/>
        <v>2</v>
      </c>
      <c r="L21" s="41">
        <f t="shared" si="4"/>
        <v>2</v>
      </c>
      <c r="M21" s="41">
        <f t="shared" si="4"/>
        <v>1</v>
      </c>
      <c r="N21" s="41">
        <f t="shared" si="4"/>
        <v>1</v>
      </c>
      <c r="O21" s="41">
        <f t="shared" si="4"/>
        <v>0</v>
      </c>
      <c r="P21" s="41">
        <f t="shared" si="4"/>
        <v>4</v>
      </c>
      <c r="Q21" s="41">
        <f t="shared" si="4"/>
        <v>1</v>
      </c>
      <c r="R21" s="41">
        <f t="shared" si="4"/>
        <v>3</v>
      </c>
      <c r="S21" s="41">
        <f t="shared" si="4"/>
        <v>3</v>
      </c>
      <c r="T21" s="41">
        <f t="shared" si="4"/>
        <v>5</v>
      </c>
      <c r="U21" s="41">
        <f t="shared" si="4"/>
        <v>5</v>
      </c>
      <c r="V21" s="41">
        <f t="shared" si="4"/>
        <v>6</v>
      </c>
      <c r="W21" s="41">
        <f t="shared" si="4"/>
        <v>8</v>
      </c>
      <c r="X21" s="41">
        <f t="shared" si="4"/>
        <v>6</v>
      </c>
      <c r="Y21" s="41">
        <f t="shared" si="4"/>
        <v>6</v>
      </c>
      <c r="Z21" s="41">
        <f t="shared" si="4"/>
        <v>6</v>
      </c>
      <c r="AA21" s="41">
        <f t="shared" si="4"/>
        <v>7</v>
      </c>
      <c r="AB21" s="41">
        <f t="shared" si="4"/>
        <v>8</v>
      </c>
      <c r="AC21" s="41">
        <f t="shared" si="4"/>
        <v>6</v>
      </c>
      <c r="AD21" s="41">
        <f t="shared" si="4"/>
        <v>5</v>
      </c>
      <c r="AE21" s="41">
        <f t="shared" si="4"/>
        <v>6</v>
      </c>
      <c r="AF21" s="41">
        <f t="shared" si="4"/>
        <v>6</v>
      </c>
    </row>
    <row r="22" spans="1:32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71.099999999999994" customHeight="1"/>
    <row r="24" spans="1:32" ht="61.35" customHeight="1"/>
    <row r="26" spans="1:32" ht="42" customHeight="1">
      <c r="B26" s="42">
        <v>1</v>
      </c>
      <c r="C26" s="40">
        <f t="shared" ref="C26:K34" si="5">IF(C3=1,1,0)</f>
        <v>1</v>
      </c>
      <c r="D26" s="40">
        <f t="shared" si="5"/>
        <v>0</v>
      </c>
      <c r="E26" s="40">
        <f t="shared" si="5"/>
        <v>0</v>
      </c>
      <c r="F26" s="40">
        <f t="shared" si="5"/>
        <v>0</v>
      </c>
      <c r="G26" s="40">
        <f t="shared" si="5"/>
        <v>0</v>
      </c>
      <c r="H26" s="40">
        <f t="shared" si="5"/>
        <v>0</v>
      </c>
      <c r="I26" s="40">
        <f t="shared" si="5"/>
        <v>0</v>
      </c>
      <c r="J26" s="40">
        <f t="shared" si="5"/>
        <v>0</v>
      </c>
      <c r="K26" s="40">
        <f t="shared" si="5"/>
        <v>0</v>
      </c>
      <c r="L26" s="40">
        <f t="shared" ref="L26:X26" si="6">IF(L3=1,1,0)</f>
        <v>0</v>
      </c>
      <c r="M26" s="40">
        <f t="shared" si="6"/>
        <v>0</v>
      </c>
      <c r="N26" s="40">
        <f t="shared" si="6"/>
        <v>0</v>
      </c>
      <c r="O26" s="40">
        <f t="shared" si="6"/>
        <v>0</v>
      </c>
      <c r="P26" s="40">
        <f t="shared" si="6"/>
        <v>0</v>
      </c>
      <c r="Q26" s="40">
        <f t="shared" si="6"/>
        <v>0</v>
      </c>
      <c r="R26" s="40">
        <f t="shared" si="6"/>
        <v>0</v>
      </c>
      <c r="S26" s="40">
        <f t="shared" si="6"/>
        <v>0</v>
      </c>
      <c r="T26" s="40">
        <f t="shared" si="6"/>
        <v>0</v>
      </c>
      <c r="U26" s="40">
        <f t="shared" si="6"/>
        <v>1</v>
      </c>
      <c r="V26" s="40">
        <f t="shared" si="6"/>
        <v>0</v>
      </c>
      <c r="W26" s="40">
        <f t="shared" si="6"/>
        <v>0</v>
      </c>
      <c r="X26" s="40">
        <f t="shared" si="6"/>
        <v>0</v>
      </c>
      <c r="Y26" s="40">
        <f t="shared" ref="Y26:AF26" si="7">IF(Y3=1,1,0)</f>
        <v>1</v>
      </c>
      <c r="Z26" s="40">
        <f t="shared" si="7"/>
        <v>1</v>
      </c>
      <c r="AA26" s="40">
        <f t="shared" si="7"/>
        <v>1</v>
      </c>
      <c r="AB26" s="40">
        <f t="shared" si="7"/>
        <v>1</v>
      </c>
      <c r="AC26" s="40">
        <f t="shared" si="7"/>
        <v>0</v>
      </c>
      <c r="AD26" s="40">
        <f t="shared" si="7"/>
        <v>0</v>
      </c>
      <c r="AE26" s="40">
        <f t="shared" si="7"/>
        <v>0</v>
      </c>
      <c r="AF26" s="40">
        <f t="shared" si="7"/>
        <v>1</v>
      </c>
    </row>
    <row r="27" spans="1:32" ht="42" customHeight="1">
      <c r="B27" s="42">
        <v>2</v>
      </c>
      <c r="C27" s="40">
        <f t="shared" si="5"/>
        <v>1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si="5"/>
        <v>0</v>
      </c>
      <c r="I27" s="40">
        <f t="shared" si="5"/>
        <v>1</v>
      </c>
      <c r="J27" s="40">
        <f t="shared" si="5"/>
        <v>0</v>
      </c>
      <c r="K27" s="40">
        <f t="shared" si="5"/>
        <v>0</v>
      </c>
      <c r="L27" s="40">
        <f t="shared" ref="L27:X27" si="8">IF(L4=1,1,0)</f>
        <v>0</v>
      </c>
      <c r="M27" s="40">
        <f t="shared" si="8"/>
        <v>1</v>
      </c>
      <c r="N27" s="40">
        <f t="shared" si="8"/>
        <v>0</v>
      </c>
      <c r="O27" s="40">
        <f t="shared" si="8"/>
        <v>0</v>
      </c>
      <c r="P27" s="40">
        <f t="shared" si="8"/>
        <v>0</v>
      </c>
      <c r="Q27" s="40">
        <f t="shared" si="8"/>
        <v>0</v>
      </c>
      <c r="R27" s="40">
        <f t="shared" si="8"/>
        <v>1</v>
      </c>
      <c r="S27" s="40">
        <f t="shared" si="8"/>
        <v>1</v>
      </c>
      <c r="T27" s="40">
        <f t="shared" si="8"/>
        <v>0</v>
      </c>
      <c r="U27" s="40">
        <f t="shared" si="8"/>
        <v>0</v>
      </c>
      <c r="V27" s="40">
        <f t="shared" si="8"/>
        <v>0</v>
      </c>
      <c r="W27" s="40">
        <f t="shared" si="8"/>
        <v>1</v>
      </c>
      <c r="X27" s="40">
        <f t="shared" si="8"/>
        <v>1</v>
      </c>
      <c r="Y27" s="40">
        <f t="shared" ref="Y27:AF27" si="9">IF(Y4=1,1,0)</f>
        <v>1</v>
      </c>
      <c r="Z27" s="40">
        <f t="shared" si="9"/>
        <v>0</v>
      </c>
      <c r="AA27" s="40">
        <f t="shared" si="9"/>
        <v>0</v>
      </c>
      <c r="AB27" s="40">
        <f t="shared" si="9"/>
        <v>0</v>
      </c>
      <c r="AC27" s="40">
        <f t="shared" si="9"/>
        <v>0</v>
      </c>
      <c r="AD27" s="40">
        <f t="shared" si="9"/>
        <v>0</v>
      </c>
      <c r="AE27" s="40">
        <f t="shared" si="9"/>
        <v>0</v>
      </c>
      <c r="AF27" s="40">
        <f t="shared" si="9"/>
        <v>0</v>
      </c>
    </row>
    <row r="28" spans="1:32" ht="42" customHeight="1">
      <c r="B28" s="43">
        <v>3</v>
      </c>
      <c r="C28" s="40">
        <f t="shared" si="5"/>
        <v>0</v>
      </c>
      <c r="D28" s="40">
        <f t="shared" si="5"/>
        <v>0</v>
      </c>
      <c r="E28" s="40">
        <f t="shared" si="5"/>
        <v>0</v>
      </c>
      <c r="F28" s="40">
        <f t="shared" si="5"/>
        <v>0</v>
      </c>
      <c r="G28" s="40">
        <f t="shared" ref="G28:I28" si="10">IF(G5=1,1,0)</f>
        <v>0</v>
      </c>
      <c r="H28" s="40">
        <f t="shared" si="10"/>
        <v>0</v>
      </c>
      <c r="I28" s="40">
        <f t="shared" si="10"/>
        <v>0</v>
      </c>
      <c r="J28" s="40">
        <f t="shared" si="5"/>
        <v>0</v>
      </c>
      <c r="K28" s="40">
        <f t="shared" si="5"/>
        <v>0</v>
      </c>
      <c r="L28" s="40">
        <f t="shared" ref="L28:X28" si="11">IF(L5=1,1,0)</f>
        <v>0</v>
      </c>
      <c r="M28" s="40">
        <f t="shared" si="11"/>
        <v>0</v>
      </c>
      <c r="N28" s="40">
        <f t="shared" si="11"/>
        <v>0</v>
      </c>
      <c r="O28" s="40">
        <f t="shared" si="11"/>
        <v>0</v>
      </c>
      <c r="P28" s="40">
        <f t="shared" si="11"/>
        <v>0</v>
      </c>
      <c r="Q28" s="40">
        <f t="shared" si="11"/>
        <v>0</v>
      </c>
      <c r="R28" s="40">
        <f t="shared" si="11"/>
        <v>0</v>
      </c>
      <c r="S28" s="40">
        <f t="shared" si="11"/>
        <v>0</v>
      </c>
      <c r="T28" s="40">
        <f t="shared" si="11"/>
        <v>0</v>
      </c>
      <c r="U28" s="40">
        <f t="shared" si="11"/>
        <v>0</v>
      </c>
      <c r="V28" s="40">
        <f t="shared" si="11"/>
        <v>0</v>
      </c>
      <c r="W28" s="40">
        <f t="shared" si="11"/>
        <v>0</v>
      </c>
      <c r="X28" s="40">
        <f t="shared" si="11"/>
        <v>1</v>
      </c>
      <c r="Y28" s="40">
        <f t="shared" ref="Y28:AF28" si="12">IF(Y5=1,1,0)</f>
        <v>0</v>
      </c>
      <c r="Z28" s="40">
        <f t="shared" si="12"/>
        <v>0</v>
      </c>
      <c r="AA28" s="40">
        <f t="shared" si="12"/>
        <v>0</v>
      </c>
      <c r="AB28" s="40">
        <f t="shared" si="12"/>
        <v>1</v>
      </c>
      <c r="AC28" s="40">
        <f t="shared" si="12"/>
        <v>1</v>
      </c>
      <c r="AD28" s="40">
        <f t="shared" si="12"/>
        <v>0</v>
      </c>
      <c r="AE28" s="40">
        <f t="shared" si="12"/>
        <v>0</v>
      </c>
      <c r="AF28" s="40">
        <f t="shared" si="12"/>
        <v>0</v>
      </c>
    </row>
    <row r="29" spans="1:32" ht="42" customHeight="1">
      <c r="B29" s="44">
        <v>4</v>
      </c>
      <c r="C29" s="40">
        <f t="shared" si="5"/>
        <v>1</v>
      </c>
      <c r="D29" s="40">
        <f t="shared" si="5"/>
        <v>1</v>
      </c>
      <c r="E29" s="40">
        <f t="shared" ref="E29:J29" si="13">IF(E6=1,1,0)</f>
        <v>1</v>
      </c>
      <c r="F29" s="40">
        <f t="shared" si="13"/>
        <v>1</v>
      </c>
      <c r="G29" s="40">
        <f t="shared" ref="G29:I29" si="14">IF(G6=1,1,0)</f>
        <v>1</v>
      </c>
      <c r="H29" s="40">
        <f t="shared" si="14"/>
        <v>1</v>
      </c>
      <c r="I29" s="40">
        <f t="shared" si="14"/>
        <v>0</v>
      </c>
      <c r="J29" s="40">
        <f t="shared" si="13"/>
        <v>0</v>
      </c>
      <c r="K29" s="40">
        <f t="shared" si="5"/>
        <v>0</v>
      </c>
      <c r="L29" s="40">
        <f t="shared" ref="L29:X29" si="15">IF(L6=1,1,0)</f>
        <v>0</v>
      </c>
      <c r="M29" s="40">
        <f t="shared" si="15"/>
        <v>0</v>
      </c>
      <c r="N29" s="40">
        <f t="shared" si="15"/>
        <v>0</v>
      </c>
      <c r="O29" s="40">
        <f t="shared" si="15"/>
        <v>0</v>
      </c>
      <c r="P29" s="40">
        <f t="shared" si="15"/>
        <v>1</v>
      </c>
      <c r="Q29" s="40">
        <f t="shared" si="15"/>
        <v>0</v>
      </c>
      <c r="R29" s="40">
        <f t="shared" si="15"/>
        <v>0</v>
      </c>
      <c r="S29" s="40">
        <f t="shared" si="15"/>
        <v>0</v>
      </c>
      <c r="T29" s="40">
        <f t="shared" si="15"/>
        <v>1</v>
      </c>
      <c r="U29" s="40">
        <f t="shared" si="15"/>
        <v>1</v>
      </c>
      <c r="V29" s="40">
        <f t="shared" si="15"/>
        <v>1</v>
      </c>
      <c r="W29" s="40">
        <f t="shared" si="15"/>
        <v>1</v>
      </c>
      <c r="X29" s="40">
        <f t="shared" si="15"/>
        <v>1</v>
      </c>
      <c r="Y29" s="40">
        <f t="shared" ref="Y29:AF29" si="16">IF(Y6=1,1,0)</f>
        <v>1</v>
      </c>
      <c r="Z29" s="40">
        <f t="shared" si="16"/>
        <v>1</v>
      </c>
      <c r="AA29" s="40">
        <f t="shared" si="16"/>
        <v>1</v>
      </c>
      <c r="AB29" s="40">
        <f t="shared" si="16"/>
        <v>1</v>
      </c>
      <c r="AC29" s="40">
        <f t="shared" si="16"/>
        <v>1</v>
      </c>
      <c r="AD29" s="40">
        <f t="shared" si="16"/>
        <v>1</v>
      </c>
      <c r="AE29" s="40">
        <f t="shared" si="16"/>
        <v>1</v>
      </c>
      <c r="AF29" s="40">
        <f t="shared" si="16"/>
        <v>0</v>
      </c>
    </row>
    <row r="30" spans="1:32" ht="42" customHeight="1">
      <c r="B30" s="44">
        <v>5</v>
      </c>
      <c r="C30" s="40">
        <f t="shared" si="5"/>
        <v>1</v>
      </c>
      <c r="D30" s="40">
        <f t="shared" si="5"/>
        <v>1</v>
      </c>
      <c r="E30" s="40">
        <f t="shared" ref="E30:F30" si="17">IF(E7=1,1,0)</f>
        <v>1</v>
      </c>
      <c r="F30" s="40">
        <f t="shared" si="17"/>
        <v>1</v>
      </c>
      <c r="G30" s="40">
        <f t="shared" ref="G30:I30" si="18">IF(G7=1,1,0)</f>
        <v>0</v>
      </c>
      <c r="H30" s="40">
        <f t="shared" si="18"/>
        <v>0</v>
      </c>
      <c r="I30" s="40">
        <f t="shared" si="18"/>
        <v>0</v>
      </c>
      <c r="J30" s="40">
        <f t="shared" ref="J30:M30" si="19">IF(J7=1,1,0)</f>
        <v>1</v>
      </c>
      <c r="K30" s="40">
        <f t="shared" si="19"/>
        <v>1</v>
      </c>
      <c r="L30" s="40">
        <f t="shared" si="19"/>
        <v>0</v>
      </c>
      <c r="M30" s="40">
        <f t="shared" si="19"/>
        <v>0</v>
      </c>
      <c r="N30" s="40">
        <f t="shared" ref="N30:X30" si="20">IF(N7=1,1,0)</f>
        <v>0</v>
      </c>
      <c r="O30" s="40">
        <f t="shared" si="20"/>
        <v>0</v>
      </c>
      <c r="P30" s="40">
        <f t="shared" si="20"/>
        <v>0</v>
      </c>
      <c r="Q30" s="40">
        <f t="shared" si="20"/>
        <v>0</v>
      </c>
      <c r="R30" s="40">
        <f t="shared" si="20"/>
        <v>0</v>
      </c>
      <c r="S30" s="40">
        <f t="shared" si="20"/>
        <v>0</v>
      </c>
      <c r="T30" s="40">
        <f t="shared" si="20"/>
        <v>1</v>
      </c>
      <c r="U30" s="40">
        <f t="shared" si="20"/>
        <v>1</v>
      </c>
      <c r="V30" s="40">
        <f t="shared" si="20"/>
        <v>1</v>
      </c>
      <c r="W30" s="40">
        <f t="shared" si="20"/>
        <v>1</v>
      </c>
      <c r="X30" s="40">
        <f t="shared" si="20"/>
        <v>1</v>
      </c>
      <c r="Y30" s="40">
        <f t="shared" ref="Y30:AF30" si="21">IF(Y7=1,1,0)</f>
        <v>1</v>
      </c>
      <c r="Z30" s="40">
        <f t="shared" si="21"/>
        <v>1</v>
      </c>
      <c r="AA30" s="40">
        <f t="shared" si="21"/>
        <v>1</v>
      </c>
      <c r="AB30" s="40">
        <f t="shared" si="21"/>
        <v>1</v>
      </c>
      <c r="AC30" s="40">
        <f t="shared" si="21"/>
        <v>1</v>
      </c>
      <c r="AD30" s="40">
        <f t="shared" si="21"/>
        <v>1</v>
      </c>
      <c r="AE30" s="40">
        <f t="shared" si="21"/>
        <v>1</v>
      </c>
      <c r="AF30" s="40">
        <f t="shared" si="21"/>
        <v>0</v>
      </c>
    </row>
    <row r="31" spans="1:32" ht="42" customHeight="1">
      <c r="B31" s="42">
        <v>6</v>
      </c>
      <c r="C31" s="40">
        <f t="shared" si="5"/>
        <v>1</v>
      </c>
      <c r="D31" s="40">
        <f t="shared" si="5"/>
        <v>1</v>
      </c>
      <c r="E31" s="40">
        <f t="shared" ref="E31:F31" si="22">IF(E8=1,1,0)</f>
        <v>1</v>
      </c>
      <c r="F31" s="40">
        <f t="shared" si="22"/>
        <v>0</v>
      </c>
      <c r="G31" s="40">
        <f t="shared" ref="G31:I31" si="23">IF(G8=1,1,0)</f>
        <v>0</v>
      </c>
      <c r="H31" s="40">
        <f t="shared" si="23"/>
        <v>0</v>
      </c>
      <c r="I31" s="40">
        <f t="shared" si="23"/>
        <v>0</v>
      </c>
      <c r="J31" s="40">
        <f t="shared" ref="J31:M31" si="24">IF(J8=1,1,0)</f>
        <v>0</v>
      </c>
      <c r="K31" s="40">
        <f t="shared" si="24"/>
        <v>0</v>
      </c>
      <c r="L31" s="40">
        <f t="shared" si="24"/>
        <v>0</v>
      </c>
      <c r="M31" s="40">
        <f t="shared" si="24"/>
        <v>0</v>
      </c>
      <c r="N31" s="40">
        <f t="shared" ref="N31:X31" si="25">IF(N8=1,1,0)</f>
        <v>1</v>
      </c>
      <c r="O31" s="40">
        <f t="shared" si="25"/>
        <v>0</v>
      </c>
      <c r="P31" s="40">
        <f t="shared" si="25"/>
        <v>0</v>
      </c>
      <c r="Q31" s="40">
        <f t="shared" si="25"/>
        <v>0</v>
      </c>
      <c r="R31" s="40">
        <f t="shared" si="25"/>
        <v>1</v>
      </c>
      <c r="S31" s="40">
        <f t="shared" si="25"/>
        <v>1</v>
      </c>
      <c r="T31" s="40">
        <f t="shared" si="25"/>
        <v>0</v>
      </c>
      <c r="U31" s="40">
        <f t="shared" si="25"/>
        <v>0</v>
      </c>
      <c r="V31" s="40">
        <f t="shared" si="25"/>
        <v>0</v>
      </c>
      <c r="W31" s="40">
        <f t="shared" si="25"/>
        <v>1</v>
      </c>
      <c r="X31" s="40">
        <f t="shared" si="25"/>
        <v>0</v>
      </c>
      <c r="Y31" s="40">
        <f t="shared" ref="Y31:AF31" si="26">IF(Y8=1,1,0)</f>
        <v>0</v>
      </c>
      <c r="Z31" s="40">
        <f t="shared" si="26"/>
        <v>0</v>
      </c>
      <c r="AA31" s="40">
        <f t="shared" si="26"/>
        <v>0</v>
      </c>
      <c r="AB31" s="40">
        <f t="shared" si="26"/>
        <v>0</v>
      </c>
      <c r="AC31" s="40">
        <f t="shared" si="26"/>
        <v>0</v>
      </c>
      <c r="AD31" s="40">
        <f t="shared" si="26"/>
        <v>0</v>
      </c>
      <c r="AE31" s="40">
        <f t="shared" si="26"/>
        <v>0</v>
      </c>
      <c r="AF31" s="40">
        <f t="shared" si="26"/>
        <v>0</v>
      </c>
    </row>
    <row r="32" spans="1:32" ht="42" customHeight="1">
      <c r="B32" s="42">
        <v>7</v>
      </c>
      <c r="C32" s="40">
        <f t="shared" si="5"/>
        <v>0</v>
      </c>
      <c r="D32" s="40">
        <f t="shared" si="5"/>
        <v>0</v>
      </c>
      <c r="E32" s="40">
        <f t="shared" ref="E32:F32" si="27">IF(E9=1,1,0)</f>
        <v>0</v>
      </c>
      <c r="F32" s="40">
        <f t="shared" si="27"/>
        <v>0</v>
      </c>
      <c r="G32" s="40">
        <f t="shared" ref="G32:I32" si="28">IF(G9=1,1,0)</f>
        <v>0</v>
      </c>
      <c r="H32" s="40">
        <f t="shared" si="28"/>
        <v>0</v>
      </c>
      <c r="I32" s="40">
        <f t="shared" si="28"/>
        <v>0</v>
      </c>
      <c r="J32" s="40">
        <f t="shared" ref="J32:M32" si="29">IF(J9=1,1,0)</f>
        <v>0</v>
      </c>
      <c r="K32" s="40">
        <f t="shared" si="29"/>
        <v>0</v>
      </c>
      <c r="L32" s="40">
        <f t="shared" si="29"/>
        <v>0</v>
      </c>
      <c r="M32" s="40">
        <f t="shared" si="29"/>
        <v>0</v>
      </c>
      <c r="N32" s="40">
        <f t="shared" ref="N32:X32" si="30">IF(N9=1,1,0)</f>
        <v>0</v>
      </c>
      <c r="O32" s="40">
        <f t="shared" si="30"/>
        <v>0</v>
      </c>
      <c r="P32" s="40">
        <f t="shared" si="30"/>
        <v>1</v>
      </c>
      <c r="Q32" s="40">
        <f t="shared" si="30"/>
        <v>0</v>
      </c>
      <c r="R32" s="40">
        <f t="shared" si="30"/>
        <v>0</v>
      </c>
      <c r="S32" s="40">
        <f t="shared" si="30"/>
        <v>0</v>
      </c>
      <c r="T32" s="40">
        <f t="shared" si="30"/>
        <v>1</v>
      </c>
      <c r="U32" s="40">
        <f t="shared" si="30"/>
        <v>0</v>
      </c>
      <c r="V32" s="40">
        <f t="shared" si="30"/>
        <v>0</v>
      </c>
      <c r="W32" s="40">
        <f t="shared" si="30"/>
        <v>0</v>
      </c>
      <c r="X32" s="40">
        <f t="shared" si="30"/>
        <v>0</v>
      </c>
      <c r="Y32" s="40">
        <f t="shared" ref="Y32:AF32" si="31">IF(Y9=1,1,0)</f>
        <v>0</v>
      </c>
      <c r="Z32" s="40">
        <f t="shared" si="31"/>
        <v>0</v>
      </c>
      <c r="AA32" s="40">
        <f t="shared" si="31"/>
        <v>1</v>
      </c>
      <c r="AB32" s="40">
        <f t="shared" si="31"/>
        <v>1</v>
      </c>
      <c r="AC32" s="40">
        <f t="shared" si="31"/>
        <v>1</v>
      </c>
      <c r="AD32" s="40">
        <f t="shared" si="31"/>
        <v>1</v>
      </c>
      <c r="AE32" s="40">
        <f t="shared" si="31"/>
        <v>1</v>
      </c>
      <c r="AF32" s="40">
        <f t="shared" si="31"/>
        <v>1</v>
      </c>
    </row>
    <row r="33" spans="2:32" ht="42" customHeight="1">
      <c r="B33" s="42">
        <v>8</v>
      </c>
      <c r="C33" s="40">
        <f t="shared" si="5"/>
        <v>0</v>
      </c>
      <c r="D33" s="40">
        <f t="shared" si="5"/>
        <v>0</v>
      </c>
      <c r="E33" s="40">
        <f t="shared" ref="E33:F33" si="32">IF(E10=1,1,0)</f>
        <v>0</v>
      </c>
      <c r="F33" s="40">
        <f t="shared" si="32"/>
        <v>0</v>
      </c>
      <c r="G33" s="40">
        <f t="shared" ref="G33:I33" si="33">IF(G10=1,1,0)</f>
        <v>1</v>
      </c>
      <c r="H33" s="40">
        <f t="shared" si="33"/>
        <v>0</v>
      </c>
      <c r="I33" s="40">
        <f t="shared" si="33"/>
        <v>0</v>
      </c>
      <c r="J33" s="40">
        <f t="shared" ref="J33:M33" si="34">IF(J10=1,1,0)</f>
        <v>0</v>
      </c>
      <c r="K33" s="40">
        <f t="shared" si="34"/>
        <v>0</v>
      </c>
      <c r="L33" s="40">
        <f t="shared" si="34"/>
        <v>1</v>
      </c>
      <c r="M33" s="40">
        <f t="shared" si="34"/>
        <v>0</v>
      </c>
      <c r="N33" s="40">
        <f t="shared" ref="N33:X33" si="35">IF(N10=1,1,0)</f>
        <v>0</v>
      </c>
      <c r="O33" s="40">
        <f t="shared" si="35"/>
        <v>0</v>
      </c>
      <c r="P33" s="40">
        <f t="shared" si="35"/>
        <v>1</v>
      </c>
      <c r="Q33" s="40">
        <f t="shared" si="35"/>
        <v>0</v>
      </c>
      <c r="R33" s="40">
        <f t="shared" si="35"/>
        <v>0</v>
      </c>
      <c r="S33" s="40">
        <f t="shared" si="35"/>
        <v>0</v>
      </c>
      <c r="T33" s="40">
        <f t="shared" si="35"/>
        <v>0</v>
      </c>
      <c r="U33" s="40">
        <f t="shared" si="35"/>
        <v>0</v>
      </c>
      <c r="V33" s="40">
        <f t="shared" si="35"/>
        <v>0</v>
      </c>
      <c r="W33" s="40">
        <f t="shared" si="35"/>
        <v>1</v>
      </c>
      <c r="X33" s="40">
        <f t="shared" si="35"/>
        <v>0</v>
      </c>
      <c r="Y33" s="40">
        <f t="shared" ref="Y33:AF33" si="36">IF(Y10=1,1,0)</f>
        <v>0</v>
      </c>
      <c r="Z33" s="40">
        <f t="shared" si="36"/>
        <v>0</v>
      </c>
      <c r="AA33" s="40">
        <f t="shared" si="36"/>
        <v>0</v>
      </c>
      <c r="AB33" s="40">
        <f t="shared" si="36"/>
        <v>0</v>
      </c>
      <c r="AC33" s="40">
        <f t="shared" si="36"/>
        <v>0</v>
      </c>
      <c r="AD33" s="40">
        <f t="shared" si="36"/>
        <v>0</v>
      </c>
      <c r="AE33" s="40">
        <f t="shared" si="36"/>
        <v>1</v>
      </c>
      <c r="AF33" s="40">
        <f t="shared" si="36"/>
        <v>1</v>
      </c>
    </row>
    <row r="34" spans="2:32" ht="42" customHeight="1">
      <c r="B34" s="43">
        <v>9</v>
      </c>
      <c r="C34" s="40">
        <f t="shared" si="5"/>
        <v>0</v>
      </c>
      <c r="D34" s="40">
        <f t="shared" si="5"/>
        <v>0</v>
      </c>
      <c r="E34" s="40">
        <f t="shared" ref="E34:F34" si="37">IF(E11=1,1,0)</f>
        <v>0</v>
      </c>
      <c r="F34" s="40">
        <f t="shared" si="37"/>
        <v>0</v>
      </c>
      <c r="G34" s="40">
        <f t="shared" ref="G34:I34" si="38">IF(G11=1,1,0)</f>
        <v>0</v>
      </c>
      <c r="H34" s="40">
        <f t="shared" si="38"/>
        <v>0</v>
      </c>
      <c r="I34" s="40">
        <f t="shared" si="38"/>
        <v>0</v>
      </c>
      <c r="J34" s="40">
        <f t="shared" ref="J34:M34" si="39">IF(J11=1,1,0)</f>
        <v>0</v>
      </c>
      <c r="K34" s="40">
        <f t="shared" si="39"/>
        <v>0</v>
      </c>
      <c r="L34" s="40">
        <f t="shared" si="39"/>
        <v>0</v>
      </c>
      <c r="M34" s="40">
        <f t="shared" si="39"/>
        <v>0</v>
      </c>
      <c r="N34" s="40">
        <f t="shared" ref="N34:X34" si="40">IF(N11=1,1,0)</f>
        <v>0</v>
      </c>
      <c r="O34" s="40">
        <f t="shared" si="40"/>
        <v>0</v>
      </c>
      <c r="P34" s="40">
        <f t="shared" si="40"/>
        <v>1</v>
      </c>
      <c r="Q34" s="40">
        <f t="shared" si="40"/>
        <v>1</v>
      </c>
      <c r="R34" s="40">
        <f t="shared" si="40"/>
        <v>0</v>
      </c>
      <c r="S34" s="40">
        <f t="shared" si="40"/>
        <v>0</v>
      </c>
      <c r="T34" s="40">
        <f t="shared" si="40"/>
        <v>0</v>
      </c>
      <c r="U34" s="40">
        <f t="shared" si="40"/>
        <v>0</v>
      </c>
      <c r="V34" s="40">
        <f t="shared" si="40"/>
        <v>1</v>
      </c>
      <c r="W34" s="40">
        <f t="shared" si="40"/>
        <v>0</v>
      </c>
      <c r="X34" s="40">
        <f t="shared" si="40"/>
        <v>0</v>
      </c>
      <c r="Y34" s="40">
        <f t="shared" ref="Y34:AC34" si="41">IF(Y11=1,1,0)</f>
        <v>0</v>
      </c>
      <c r="Z34" s="40">
        <f t="shared" si="41"/>
        <v>0</v>
      </c>
      <c r="AA34" s="40">
        <f t="shared" si="41"/>
        <v>0</v>
      </c>
      <c r="AB34" s="40">
        <f t="shared" si="41"/>
        <v>1</v>
      </c>
      <c r="AC34" s="40">
        <f t="shared" si="41"/>
        <v>0</v>
      </c>
      <c r="AD34" s="40">
        <f t="shared" ref="AD34:AF34" si="42">IF(AD11=1,1,0)</f>
        <v>0</v>
      </c>
      <c r="AE34" s="40">
        <f t="shared" si="42"/>
        <v>0</v>
      </c>
      <c r="AF34" s="40">
        <f t="shared" si="42"/>
        <v>0</v>
      </c>
    </row>
    <row r="35" spans="2:32" ht="42" customHeight="1">
      <c r="B35" s="44">
        <v>10</v>
      </c>
      <c r="C35" s="40">
        <f t="shared" ref="C35:K38" si="43">IF(C12=1,1,0)</f>
        <v>1</v>
      </c>
      <c r="D35" s="40">
        <f t="shared" si="43"/>
        <v>1</v>
      </c>
      <c r="E35" s="40">
        <f t="shared" si="43"/>
        <v>0</v>
      </c>
      <c r="F35" s="40">
        <f t="shared" si="43"/>
        <v>0</v>
      </c>
      <c r="G35" s="40">
        <f t="shared" si="43"/>
        <v>0</v>
      </c>
      <c r="H35" s="40">
        <f t="shared" si="43"/>
        <v>0</v>
      </c>
      <c r="I35" s="40">
        <f t="shared" si="43"/>
        <v>1</v>
      </c>
      <c r="J35" s="40">
        <f t="shared" si="43"/>
        <v>0</v>
      </c>
      <c r="K35" s="40">
        <f t="shared" si="43"/>
        <v>0</v>
      </c>
      <c r="L35" s="40">
        <f t="shared" ref="L35:X35" si="44">IF(L12=1,1,0)</f>
        <v>0</v>
      </c>
      <c r="M35" s="40">
        <f t="shared" si="44"/>
        <v>0</v>
      </c>
      <c r="N35" s="40">
        <f t="shared" si="44"/>
        <v>0</v>
      </c>
      <c r="O35" s="40">
        <f t="shared" si="44"/>
        <v>0</v>
      </c>
      <c r="P35" s="40">
        <f t="shared" si="44"/>
        <v>0</v>
      </c>
      <c r="Q35" s="40">
        <f t="shared" si="44"/>
        <v>0</v>
      </c>
      <c r="R35" s="40">
        <f t="shared" si="44"/>
        <v>0</v>
      </c>
      <c r="S35" s="40">
        <f t="shared" si="44"/>
        <v>0</v>
      </c>
      <c r="T35" s="40">
        <f t="shared" si="44"/>
        <v>0</v>
      </c>
      <c r="U35" s="40">
        <f t="shared" si="44"/>
        <v>0</v>
      </c>
      <c r="V35" s="40">
        <f t="shared" si="44"/>
        <v>0</v>
      </c>
      <c r="W35" s="40">
        <f t="shared" si="44"/>
        <v>0</v>
      </c>
      <c r="X35" s="40">
        <f t="shared" si="44"/>
        <v>0</v>
      </c>
      <c r="Y35" s="40">
        <f t="shared" ref="Y35:AC35" si="45">IF(Y12=1,1,0)</f>
        <v>0</v>
      </c>
      <c r="Z35" s="40">
        <f t="shared" si="45"/>
        <v>1</v>
      </c>
      <c r="AA35" s="40">
        <f t="shared" si="45"/>
        <v>1</v>
      </c>
      <c r="AB35" s="40">
        <f t="shared" si="45"/>
        <v>1</v>
      </c>
      <c r="AC35" s="40">
        <f t="shared" si="45"/>
        <v>1</v>
      </c>
      <c r="AD35" s="40">
        <f t="shared" ref="AD35:AF35" si="46">IF(AD12=1,1,0)</f>
        <v>1</v>
      </c>
      <c r="AE35" s="40">
        <f t="shared" si="46"/>
        <v>1</v>
      </c>
      <c r="AF35" s="40">
        <f t="shared" si="46"/>
        <v>1</v>
      </c>
    </row>
    <row r="36" spans="2:32" ht="42" customHeight="1">
      <c r="B36" s="44">
        <v>11</v>
      </c>
      <c r="C36" s="40">
        <f t="shared" si="43"/>
        <v>0</v>
      </c>
      <c r="D36" s="40">
        <f t="shared" si="43"/>
        <v>0</v>
      </c>
      <c r="E36" s="40">
        <f t="shared" si="43"/>
        <v>0</v>
      </c>
      <c r="F36" s="40">
        <f t="shared" si="43"/>
        <v>0</v>
      </c>
      <c r="G36" s="40">
        <f t="shared" si="43"/>
        <v>0</v>
      </c>
      <c r="H36" s="40">
        <f t="shared" si="43"/>
        <v>0</v>
      </c>
      <c r="I36" s="40">
        <f t="shared" si="43"/>
        <v>0</v>
      </c>
      <c r="J36" s="40">
        <f t="shared" si="43"/>
        <v>0</v>
      </c>
      <c r="K36" s="40">
        <f t="shared" si="43"/>
        <v>0</v>
      </c>
      <c r="L36" s="40">
        <f t="shared" ref="L36:X36" si="47">IF(L13=1,1,0)</f>
        <v>0</v>
      </c>
      <c r="M36" s="40">
        <f t="shared" si="47"/>
        <v>0</v>
      </c>
      <c r="N36" s="40">
        <f t="shared" si="47"/>
        <v>0</v>
      </c>
      <c r="O36" s="40">
        <f t="shared" si="47"/>
        <v>0</v>
      </c>
      <c r="P36" s="40">
        <f t="shared" si="47"/>
        <v>0</v>
      </c>
      <c r="Q36" s="40">
        <f t="shared" si="47"/>
        <v>0</v>
      </c>
      <c r="R36" s="40">
        <f t="shared" si="47"/>
        <v>1</v>
      </c>
      <c r="S36" s="40">
        <f t="shared" si="47"/>
        <v>0</v>
      </c>
      <c r="T36" s="40">
        <f t="shared" si="47"/>
        <v>0</v>
      </c>
      <c r="U36" s="40">
        <f t="shared" si="47"/>
        <v>0</v>
      </c>
      <c r="V36" s="40">
        <f t="shared" si="47"/>
        <v>1</v>
      </c>
      <c r="W36" s="40">
        <f t="shared" si="47"/>
        <v>1</v>
      </c>
      <c r="X36" s="40">
        <f t="shared" si="47"/>
        <v>1</v>
      </c>
      <c r="Y36" s="40">
        <f t="shared" ref="Y36:AC36" si="48">IF(Y13=1,1,0)</f>
        <v>1</v>
      </c>
      <c r="Z36" s="40">
        <f t="shared" si="48"/>
        <v>1</v>
      </c>
      <c r="AA36" s="40">
        <f t="shared" si="48"/>
        <v>1</v>
      </c>
      <c r="AB36" s="40">
        <f t="shared" si="48"/>
        <v>1</v>
      </c>
      <c r="AC36" s="40">
        <f t="shared" si="48"/>
        <v>1</v>
      </c>
      <c r="AD36" s="40">
        <f t="shared" ref="AD36:AF36" si="49">IF(AD13=1,1,0)</f>
        <v>1</v>
      </c>
      <c r="AE36" s="40">
        <f t="shared" si="49"/>
        <v>1</v>
      </c>
      <c r="AF36" s="40">
        <f t="shared" si="49"/>
        <v>1</v>
      </c>
    </row>
    <row r="37" spans="2:32" ht="42" customHeight="1">
      <c r="B37" s="42">
        <v>12</v>
      </c>
      <c r="C37" s="40">
        <f t="shared" si="43"/>
        <v>0</v>
      </c>
      <c r="D37" s="40">
        <f t="shared" si="43"/>
        <v>0</v>
      </c>
      <c r="E37" s="40">
        <f t="shared" si="43"/>
        <v>0</v>
      </c>
      <c r="F37" s="40">
        <f t="shared" si="43"/>
        <v>0</v>
      </c>
      <c r="G37" s="40">
        <f t="shared" si="43"/>
        <v>1</v>
      </c>
      <c r="H37" s="40">
        <f t="shared" si="43"/>
        <v>0</v>
      </c>
      <c r="I37" s="40">
        <f t="shared" si="43"/>
        <v>0</v>
      </c>
      <c r="J37" s="40">
        <f t="shared" si="43"/>
        <v>0</v>
      </c>
      <c r="K37" s="40">
        <f t="shared" si="43"/>
        <v>1</v>
      </c>
      <c r="L37" s="40">
        <f t="shared" ref="L37:X37" si="50">IF(L14=1,1,0)</f>
        <v>1</v>
      </c>
      <c r="M37" s="40">
        <f t="shared" si="50"/>
        <v>0</v>
      </c>
      <c r="N37" s="40">
        <f t="shared" si="50"/>
        <v>0</v>
      </c>
      <c r="O37" s="40">
        <f t="shared" si="50"/>
        <v>0</v>
      </c>
      <c r="P37" s="40">
        <f t="shared" si="50"/>
        <v>0</v>
      </c>
      <c r="Q37" s="40">
        <f t="shared" si="50"/>
        <v>0</v>
      </c>
      <c r="R37" s="40">
        <f t="shared" si="50"/>
        <v>0</v>
      </c>
      <c r="S37" s="40">
        <f t="shared" si="50"/>
        <v>1</v>
      </c>
      <c r="T37" s="40">
        <f t="shared" si="50"/>
        <v>1</v>
      </c>
      <c r="U37" s="40">
        <f t="shared" si="50"/>
        <v>1</v>
      </c>
      <c r="V37" s="40">
        <f t="shared" si="50"/>
        <v>1</v>
      </c>
      <c r="W37" s="40">
        <f t="shared" si="50"/>
        <v>1</v>
      </c>
      <c r="X37" s="40">
        <f t="shared" si="50"/>
        <v>1</v>
      </c>
      <c r="Y37" s="40">
        <f t="shared" ref="Y37:AC37" si="51">IF(Y14=1,1,0)</f>
        <v>1</v>
      </c>
      <c r="Z37" s="40">
        <f t="shared" si="51"/>
        <v>1</v>
      </c>
      <c r="AA37" s="40">
        <f t="shared" si="51"/>
        <v>1</v>
      </c>
      <c r="AB37" s="40">
        <f t="shared" si="51"/>
        <v>0</v>
      </c>
      <c r="AC37" s="40">
        <f t="shared" si="51"/>
        <v>0</v>
      </c>
      <c r="AD37" s="40">
        <f t="shared" ref="AD37:AF37" si="52">IF(AD14=1,1,0)</f>
        <v>0</v>
      </c>
      <c r="AE37" s="40">
        <f t="shared" si="52"/>
        <v>0</v>
      </c>
      <c r="AF37" s="40">
        <f t="shared" si="52"/>
        <v>0</v>
      </c>
    </row>
    <row r="38" spans="2:32" ht="42" customHeight="1">
      <c r="B38" s="45" t="s">
        <v>111</v>
      </c>
      <c r="C38" s="40">
        <f t="shared" si="43"/>
        <v>1</v>
      </c>
      <c r="D38" s="40">
        <f t="shared" si="43"/>
        <v>0</v>
      </c>
      <c r="E38" s="40">
        <f t="shared" si="43"/>
        <v>0</v>
      </c>
      <c r="F38" s="40">
        <f t="shared" si="43"/>
        <v>0</v>
      </c>
      <c r="G38" s="40">
        <f t="shared" si="43"/>
        <v>1</v>
      </c>
      <c r="H38" s="40">
        <f t="shared" si="43"/>
        <v>1</v>
      </c>
      <c r="I38" s="40">
        <f t="shared" si="43"/>
        <v>1</v>
      </c>
      <c r="J38" s="40">
        <f t="shared" si="43"/>
        <v>0</v>
      </c>
      <c r="K38" s="40">
        <f t="shared" si="43"/>
        <v>0</v>
      </c>
      <c r="L38" s="40">
        <f t="shared" ref="L38:X38" si="53">IF(L15=1,1,0)</f>
        <v>0</v>
      </c>
      <c r="M38" s="40">
        <f t="shared" si="53"/>
        <v>0</v>
      </c>
      <c r="N38" s="40">
        <f t="shared" si="53"/>
        <v>0</v>
      </c>
      <c r="O38" s="40">
        <f t="shared" si="53"/>
        <v>0</v>
      </c>
      <c r="P38" s="40">
        <f t="shared" si="53"/>
        <v>0</v>
      </c>
      <c r="Q38" s="40">
        <f t="shared" si="53"/>
        <v>0</v>
      </c>
      <c r="R38" s="40">
        <f t="shared" si="53"/>
        <v>0</v>
      </c>
      <c r="S38" s="40">
        <f t="shared" si="53"/>
        <v>0</v>
      </c>
      <c r="T38" s="40">
        <f t="shared" si="53"/>
        <v>1</v>
      </c>
      <c r="U38" s="40">
        <f t="shared" si="53"/>
        <v>1</v>
      </c>
      <c r="V38" s="40">
        <f t="shared" si="53"/>
        <v>1</v>
      </c>
      <c r="W38" s="40">
        <f t="shared" si="53"/>
        <v>1</v>
      </c>
      <c r="X38" s="40">
        <f t="shared" si="53"/>
        <v>0</v>
      </c>
      <c r="Y38" s="40">
        <f t="shared" ref="Y38:AC38" si="54">IF(Y15=1,1,0)</f>
        <v>0</v>
      </c>
      <c r="Z38" s="40">
        <f t="shared" si="54"/>
        <v>0</v>
      </c>
      <c r="AA38" s="40">
        <f t="shared" si="54"/>
        <v>0</v>
      </c>
      <c r="AB38" s="40">
        <f t="shared" si="54"/>
        <v>0</v>
      </c>
      <c r="AC38" s="40">
        <f t="shared" si="54"/>
        <v>0</v>
      </c>
      <c r="AD38" s="40">
        <f t="shared" ref="AD38:AF38" si="55">IF(AD15=1,1,0)</f>
        <v>0</v>
      </c>
      <c r="AE38" s="40">
        <f t="shared" si="55"/>
        <v>0</v>
      </c>
      <c r="AF38" s="40">
        <f t="shared" si="55"/>
        <v>1</v>
      </c>
    </row>
  </sheetData>
  <mergeCells count="64">
    <mergeCell ref="X8:Z8"/>
    <mergeCell ref="AC3:AE3"/>
    <mergeCell ref="AE8:AF8"/>
    <mergeCell ref="S13:U13"/>
    <mergeCell ref="V3:X3"/>
    <mergeCell ref="T4:V4"/>
    <mergeCell ref="T8:V8"/>
    <mergeCell ref="U9:W9"/>
    <mergeCell ref="AD4:AF4"/>
    <mergeCell ref="AC11:AE11"/>
    <mergeCell ref="AD5:AF5"/>
    <mergeCell ref="Y5:AA5"/>
    <mergeCell ref="W11:AA11"/>
    <mergeCell ref="Z4:AC4"/>
    <mergeCell ref="AA10:AD10"/>
    <mergeCell ref="X9:Z10"/>
    <mergeCell ref="T5:W5"/>
    <mergeCell ref="O15:P15"/>
    <mergeCell ref="N12:R12"/>
    <mergeCell ref="Q6:S6"/>
    <mergeCell ref="D15:F15"/>
    <mergeCell ref="Q15:S15"/>
    <mergeCell ref="I11:O11"/>
    <mergeCell ref="C13:D13"/>
    <mergeCell ref="C11:D11"/>
    <mergeCell ref="G7:I7"/>
    <mergeCell ref="G8:J8"/>
    <mergeCell ref="I10:K10"/>
    <mergeCell ref="J15:N15"/>
    <mergeCell ref="I6:L6"/>
    <mergeCell ref="Q7:S7"/>
    <mergeCell ref="L7:O7"/>
    <mergeCell ref="AE14:AF14"/>
    <mergeCell ref="D9:H9"/>
    <mergeCell ref="R11:U11"/>
    <mergeCell ref="J12:M12"/>
    <mergeCell ref="M9:O9"/>
    <mergeCell ref="M10:O10"/>
    <mergeCell ref="H13:M13"/>
    <mergeCell ref="E13:G13"/>
    <mergeCell ref="C14:E14"/>
    <mergeCell ref="M14:O14"/>
    <mergeCell ref="N13:Q13"/>
    <mergeCell ref="O8:Q8"/>
    <mergeCell ref="M5:O5"/>
    <mergeCell ref="Q9:S9"/>
    <mergeCell ref="K8:M8"/>
    <mergeCell ref="P14:R14"/>
    <mergeCell ref="I3:M3"/>
    <mergeCell ref="H14:J14"/>
    <mergeCell ref="V12:Y12"/>
    <mergeCell ref="J9:L9"/>
    <mergeCell ref="Q10:T10"/>
    <mergeCell ref="D3:H3"/>
    <mergeCell ref="D4:H4"/>
    <mergeCell ref="C10:F10"/>
    <mergeCell ref="N3:Q4"/>
    <mergeCell ref="F5:I5"/>
    <mergeCell ref="C5:D5"/>
    <mergeCell ref="J5:L5"/>
    <mergeCell ref="M6:O6"/>
    <mergeCell ref="R3:T3"/>
    <mergeCell ref="P5:Q5"/>
    <mergeCell ref="J4:L4"/>
  </mergeCells>
  <conditionalFormatting sqref="C17:AF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C97-24E3-4203-B99E-CCF36AB3318E}">
  <sheetPr>
    <tabColor theme="4" tint="0.59999389629810485"/>
  </sheetPr>
  <dimension ref="A1:AG38"/>
  <sheetViews>
    <sheetView zoomScale="40" zoomScaleNormal="40" workbookViewId="0">
      <pane xSplit="2" ySplit="2" topLeftCell="S3" activePane="bottomRight" state="frozen"/>
      <selection pane="bottomRight" activeCell="Z5" sqref="Z5:AB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1" width="15.5703125" style="26" customWidth="1"/>
    <col min="12" max="12" width="15.1406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33" width="13.4257812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4">
        <v>31</v>
      </c>
    </row>
    <row r="2" spans="1:33" ht="27.75" customHeight="1">
      <c r="A2" s="27"/>
      <c r="B2" s="27"/>
      <c r="C2" s="28" t="s">
        <v>8</v>
      </c>
      <c r="D2" s="30" t="s">
        <v>2</v>
      </c>
      <c r="E2" s="31" t="s">
        <v>3</v>
      </c>
      <c r="F2" s="28" t="s">
        <v>4</v>
      </c>
      <c r="G2" s="52" t="s">
        <v>5</v>
      </c>
      <c r="H2" s="53" t="s">
        <v>6</v>
      </c>
      <c r="I2" s="52" t="s">
        <v>7</v>
      </c>
      <c r="J2" s="52" t="s">
        <v>8</v>
      </c>
      <c r="K2" s="30" t="s">
        <v>2</v>
      </c>
      <c r="L2" s="31" t="s">
        <v>3</v>
      </c>
      <c r="M2" s="28" t="s">
        <v>4</v>
      </c>
      <c r="N2" s="28" t="s">
        <v>5</v>
      </c>
      <c r="O2" s="29" t="s">
        <v>6</v>
      </c>
      <c r="P2" s="28" t="s">
        <v>7</v>
      </c>
      <c r="Q2" s="28" t="s">
        <v>8</v>
      </c>
      <c r="R2" s="30" t="s">
        <v>2</v>
      </c>
      <c r="S2" s="31" t="s">
        <v>3</v>
      </c>
      <c r="T2" s="28" t="s">
        <v>4</v>
      </c>
      <c r="U2" s="28" t="s">
        <v>5</v>
      </c>
      <c r="V2" s="29" t="s">
        <v>6</v>
      </c>
      <c r="W2" s="28" t="s">
        <v>7</v>
      </c>
      <c r="X2" s="28" t="s">
        <v>8</v>
      </c>
      <c r="Y2" s="30" t="s">
        <v>2</v>
      </c>
      <c r="Z2" s="31" t="s">
        <v>3</v>
      </c>
      <c r="AA2" s="28" t="s">
        <v>4</v>
      </c>
      <c r="AB2" s="28" t="s">
        <v>5</v>
      </c>
      <c r="AC2" s="29" t="s">
        <v>6</v>
      </c>
      <c r="AD2" s="28" t="s">
        <v>7</v>
      </c>
      <c r="AE2" s="28" t="s">
        <v>8</v>
      </c>
      <c r="AF2" s="30" t="s">
        <v>2</v>
      </c>
      <c r="AG2" s="31" t="s">
        <v>3</v>
      </c>
    </row>
    <row r="3" spans="1:33" ht="85.5" customHeight="1">
      <c r="A3" s="32">
        <v>1</v>
      </c>
      <c r="B3" s="33" t="s">
        <v>9</v>
      </c>
      <c r="C3" s="23">
        <v>1</v>
      </c>
      <c r="D3" s="613" t="s">
        <v>576</v>
      </c>
      <c r="E3" s="614"/>
      <c r="F3" s="614"/>
      <c r="G3" s="262" t="s">
        <v>577</v>
      </c>
      <c r="H3" s="263"/>
      <c r="I3" s="263"/>
      <c r="J3" s="263"/>
      <c r="K3" s="108">
        <v>1</v>
      </c>
      <c r="L3" s="370" t="s">
        <v>578</v>
      </c>
      <c r="M3" s="246"/>
      <c r="N3" s="246"/>
      <c r="O3" s="246"/>
      <c r="P3" s="371"/>
      <c r="Q3" s="23">
        <v>1</v>
      </c>
      <c r="R3" s="23">
        <v>1</v>
      </c>
      <c r="S3" s="23">
        <v>1</v>
      </c>
      <c r="T3" s="23">
        <v>1</v>
      </c>
      <c r="U3" s="23">
        <v>1</v>
      </c>
      <c r="V3" s="23">
        <v>1</v>
      </c>
      <c r="W3" s="277" t="s">
        <v>579</v>
      </c>
      <c r="X3" s="566"/>
      <c r="Y3" s="567"/>
      <c r="Z3" s="23">
        <v>1</v>
      </c>
      <c r="AA3" s="23">
        <v>1</v>
      </c>
      <c r="AB3" s="23">
        <v>1</v>
      </c>
      <c r="AC3" s="23">
        <v>1</v>
      </c>
      <c r="AD3" s="46">
        <v>1</v>
      </c>
      <c r="AE3" s="46">
        <v>1</v>
      </c>
      <c r="AF3" s="46">
        <v>1</v>
      </c>
      <c r="AG3" s="46">
        <v>1</v>
      </c>
    </row>
    <row r="4" spans="1:33" ht="85.5" customHeight="1">
      <c r="A4" s="34">
        <v>2</v>
      </c>
      <c r="B4" s="33" t="s">
        <v>9</v>
      </c>
      <c r="C4" s="185" t="s">
        <v>521</v>
      </c>
      <c r="D4" s="257" t="s">
        <v>580</v>
      </c>
      <c r="E4" s="257"/>
      <c r="F4" s="261"/>
      <c r="G4" s="242"/>
      <c r="H4" s="180"/>
      <c r="I4" s="179"/>
      <c r="J4" s="179"/>
      <c r="K4" s="121"/>
      <c r="L4" s="254"/>
      <c r="M4" s="255"/>
      <c r="N4" s="255"/>
      <c r="O4" s="246"/>
      <c r="P4" s="371"/>
      <c r="Q4" s="476" t="s">
        <v>581</v>
      </c>
      <c r="R4" s="476"/>
      <c r="S4" s="476"/>
      <c r="T4" s="476"/>
      <c r="U4" s="46">
        <v>1</v>
      </c>
      <c r="V4" s="46">
        <v>1</v>
      </c>
      <c r="W4" s="46">
        <v>1</v>
      </c>
      <c r="X4" s="46">
        <v>1</v>
      </c>
      <c r="Y4" s="46">
        <v>1</v>
      </c>
      <c r="Z4" s="46">
        <v>1</v>
      </c>
      <c r="AA4" s="199" t="s">
        <v>582</v>
      </c>
      <c r="AB4" s="188"/>
      <c r="AC4" s="172"/>
      <c r="AD4" s="623" t="s">
        <v>583</v>
      </c>
      <c r="AE4" s="270"/>
      <c r="AF4" s="577"/>
      <c r="AG4" s="84"/>
    </row>
    <row r="5" spans="1:33" ht="108" customHeight="1">
      <c r="A5" s="34">
        <v>3</v>
      </c>
      <c r="B5" s="33" t="s">
        <v>29</v>
      </c>
      <c r="C5" s="629" t="s">
        <v>584</v>
      </c>
      <c r="D5" s="237"/>
      <c r="E5" s="238"/>
      <c r="F5" s="592" t="s">
        <v>585</v>
      </c>
      <c r="G5" s="592"/>
      <c r="H5" s="592"/>
      <c r="I5" s="108">
        <v>1</v>
      </c>
      <c r="J5" s="23">
        <v>1</v>
      </c>
      <c r="K5" s="23">
        <v>1</v>
      </c>
      <c r="L5" s="23">
        <v>1</v>
      </c>
      <c r="M5" s="23">
        <v>1</v>
      </c>
      <c r="N5" s="65">
        <v>1</v>
      </c>
      <c r="O5" s="153"/>
      <c r="P5" s="207" t="s">
        <v>586</v>
      </c>
      <c r="Q5" s="271"/>
      <c r="R5" s="271"/>
      <c r="S5" s="271"/>
      <c r="T5" s="271"/>
      <c r="U5" s="271"/>
      <c r="V5" s="272"/>
      <c r="W5" s="109"/>
      <c r="X5" s="109"/>
      <c r="Y5" s="162"/>
      <c r="Z5" s="178"/>
      <c r="AA5" s="178"/>
      <c r="AB5" s="178"/>
      <c r="AC5" s="181"/>
      <c r="AD5" s="623" t="s">
        <v>587</v>
      </c>
      <c r="AE5" s="270"/>
      <c r="AF5" s="577"/>
      <c r="AG5" s="47">
        <v>1</v>
      </c>
    </row>
    <row r="6" spans="1:33" ht="108" customHeight="1">
      <c r="A6" s="34">
        <v>4</v>
      </c>
      <c r="B6" s="35" t="s">
        <v>37</v>
      </c>
      <c r="C6" s="207" t="s">
        <v>532</v>
      </c>
      <c r="D6" s="271"/>
      <c r="E6" s="272"/>
      <c r="F6" s="171"/>
      <c r="G6" s="119">
        <v>1</v>
      </c>
      <c r="H6" s="47">
        <v>1</v>
      </c>
      <c r="I6" s="23">
        <v>1</v>
      </c>
      <c r="J6" s="215" t="s">
        <v>588</v>
      </c>
      <c r="K6" s="279"/>
      <c r="L6" s="279"/>
      <c r="M6" s="225"/>
      <c r="N6" s="23">
        <v>1</v>
      </c>
      <c r="O6" s="47">
        <v>1</v>
      </c>
      <c r="P6" s="47">
        <v>1</v>
      </c>
      <c r="Q6" s="47">
        <v>1</v>
      </c>
      <c r="R6" s="47">
        <v>1</v>
      </c>
      <c r="S6" s="47">
        <v>1</v>
      </c>
      <c r="T6" s="47">
        <v>1</v>
      </c>
      <c r="U6" s="47">
        <v>1</v>
      </c>
      <c r="V6" s="47">
        <v>1</v>
      </c>
      <c r="W6" s="254" t="s">
        <v>589</v>
      </c>
      <c r="X6" s="255"/>
      <c r="Y6" s="298"/>
      <c r="Z6" s="47">
        <v>1</v>
      </c>
      <c r="AA6" s="610" t="s">
        <v>590</v>
      </c>
      <c r="AB6" s="603"/>
      <c r="AC6" s="263"/>
      <c r="AD6" s="623" t="s">
        <v>591</v>
      </c>
      <c r="AE6" s="270"/>
      <c r="AF6" s="577"/>
      <c r="AG6" s="23">
        <v>1</v>
      </c>
    </row>
    <row r="7" spans="1:33" ht="85.5" customHeight="1">
      <c r="A7" s="34">
        <v>5</v>
      </c>
      <c r="B7" s="33" t="s">
        <v>37</v>
      </c>
      <c r="C7" s="302" t="s">
        <v>537</v>
      </c>
      <c r="D7" s="615"/>
      <c r="E7" s="616"/>
      <c r="F7" s="121"/>
      <c r="G7" s="91"/>
      <c r="H7" s="91"/>
      <c r="I7" s="23">
        <v>1</v>
      </c>
      <c r="J7" s="620" t="s">
        <v>592</v>
      </c>
      <c r="K7" s="621"/>
      <c r="L7" s="621"/>
      <c r="M7" s="621"/>
      <c r="N7" s="621"/>
      <c r="O7" s="622"/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13" t="s">
        <v>593</v>
      </c>
      <c r="Y7" s="618"/>
      <c r="Z7" s="618"/>
      <c r="AA7" s="618"/>
      <c r="AB7" s="619"/>
      <c r="AC7" s="23">
        <v>1</v>
      </c>
      <c r="AD7" s="121"/>
      <c r="AE7" s="121"/>
      <c r="AF7" s="121"/>
      <c r="AG7" s="23">
        <v>1</v>
      </c>
    </row>
    <row r="8" spans="1:33" ht="103.35" customHeight="1">
      <c r="A8" s="34">
        <v>6</v>
      </c>
      <c r="B8" s="33" t="s">
        <v>9</v>
      </c>
      <c r="C8" s="187" t="s">
        <v>544</v>
      </c>
      <c r="D8" s="84"/>
      <c r="E8" s="84"/>
      <c r="F8" s="84"/>
      <c r="G8" s="84"/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81" t="s">
        <v>594</v>
      </c>
      <c r="P8" s="282"/>
      <c r="Q8" s="282"/>
      <c r="R8" s="297"/>
      <c r="S8" s="23">
        <v>1</v>
      </c>
      <c r="T8" s="23">
        <v>1</v>
      </c>
      <c r="U8" s="23">
        <v>1</v>
      </c>
      <c r="V8" s="23">
        <v>1</v>
      </c>
      <c r="W8" s="23">
        <v>1</v>
      </c>
      <c r="X8" s="215" t="s">
        <v>595</v>
      </c>
      <c r="Y8" s="279"/>
      <c r="Z8" s="225"/>
      <c r="AA8" s="213" t="s">
        <v>596</v>
      </c>
      <c r="AB8" s="214"/>
      <c r="AC8" s="227"/>
      <c r="AD8" s="121"/>
      <c r="AE8" s="128"/>
      <c r="AF8" s="121"/>
      <c r="AG8" s="145" t="s">
        <v>597</v>
      </c>
    </row>
    <row r="9" spans="1:33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15" t="s">
        <v>598</v>
      </c>
      <c r="G9" s="279"/>
      <c r="H9" s="279"/>
      <c r="I9" s="225"/>
      <c r="J9" s="215" t="s">
        <v>599</v>
      </c>
      <c r="K9" s="279"/>
      <c r="L9" s="225"/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15" t="s">
        <v>600</v>
      </c>
      <c r="T9" s="279"/>
      <c r="U9" s="225"/>
      <c r="V9" s="23">
        <v>1</v>
      </c>
      <c r="W9" s="23">
        <v>1</v>
      </c>
      <c r="X9" s="23">
        <v>1</v>
      </c>
      <c r="Y9" s="630" t="s">
        <v>601</v>
      </c>
      <c r="Z9" s="631"/>
      <c r="AA9" s="632"/>
      <c r="AB9" s="23">
        <v>1</v>
      </c>
      <c r="AC9" s="23">
        <v>1</v>
      </c>
      <c r="AD9" s="23">
        <v>1</v>
      </c>
      <c r="AE9" s="625" t="s">
        <v>602</v>
      </c>
      <c r="AF9" s="626"/>
      <c r="AG9" s="23">
        <v>1</v>
      </c>
    </row>
    <row r="10" spans="1:33" ht="85.5" customHeight="1">
      <c r="A10" s="34">
        <v>8</v>
      </c>
      <c r="B10" s="33" t="s">
        <v>9</v>
      </c>
      <c r="C10" s="23">
        <v>1</v>
      </c>
      <c r="D10" s="23">
        <v>1</v>
      </c>
      <c r="E10" s="215" t="s">
        <v>603</v>
      </c>
      <c r="F10" s="279"/>
      <c r="G10" s="279"/>
      <c r="H10" s="225"/>
      <c r="I10" s="215" t="s">
        <v>604</v>
      </c>
      <c r="J10" s="279"/>
      <c r="K10" s="279"/>
      <c r="L10" s="225"/>
      <c r="M10" s="23">
        <v>1</v>
      </c>
      <c r="N10" s="23">
        <v>1</v>
      </c>
      <c r="O10" s="23">
        <v>1</v>
      </c>
      <c r="P10" s="23">
        <v>1</v>
      </c>
      <c r="Q10" s="23">
        <v>1</v>
      </c>
      <c r="R10" s="23">
        <v>1</v>
      </c>
      <c r="S10" s="23">
        <v>1</v>
      </c>
      <c r="T10" s="23">
        <v>1</v>
      </c>
      <c r="U10" s="23">
        <v>1</v>
      </c>
      <c r="V10" s="23">
        <v>1</v>
      </c>
      <c r="W10" s="23">
        <v>1</v>
      </c>
      <c r="X10" s="23">
        <v>1</v>
      </c>
      <c r="Y10" s="291"/>
      <c r="Z10" s="292"/>
      <c r="AA10" s="293"/>
      <c r="AB10" s="23">
        <v>1</v>
      </c>
      <c r="AC10" s="23">
        <v>1</v>
      </c>
      <c r="AD10" s="23">
        <v>1</v>
      </c>
      <c r="AE10" s="627"/>
      <c r="AF10" s="628"/>
      <c r="AG10" s="23">
        <v>1</v>
      </c>
    </row>
    <row r="11" spans="1:33" ht="85.5" customHeight="1">
      <c r="A11" s="34">
        <v>9</v>
      </c>
      <c r="B11" s="35" t="s">
        <v>29</v>
      </c>
      <c r="C11" s="128"/>
      <c r="D11" s="91"/>
      <c r="E11" s="215" t="s">
        <v>605</v>
      </c>
      <c r="F11" s="279"/>
      <c r="G11" s="225"/>
      <c r="H11" s="84"/>
      <c r="I11" s="23">
        <v>1</v>
      </c>
      <c r="J11" s="23">
        <v>1</v>
      </c>
      <c r="K11" s="23">
        <v>1</v>
      </c>
      <c r="L11" s="23">
        <v>1</v>
      </c>
      <c r="M11" s="213" t="s">
        <v>606</v>
      </c>
      <c r="N11" s="214"/>
      <c r="O11" s="214"/>
      <c r="P11" s="214"/>
      <c r="Q11" s="227"/>
      <c r="R11" s="215" t="s">
        <v>607</v>
      </c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25"/>
      <c r="AF11" s="23">
        <v>1</v>
      </c>
      <c r="AG11" s="23">
        <v>1</v>
      </c>
    </row>
    <row r="12" spans="1:33" ht="85.5" customHeight="1">
      <c r="A12" s="34">
        <v>10</v>
      </c>
      <c r="B12" s="33" t="s">
        <v>37</v>
      </c>
      <c r="C12" s="23" t="s">
        <v>608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81" t="s">
        <v>609</v>
      </c>
      <c r="K12" s="282"/>
      <c r="L12" s="297"/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  <c r="AG12" s="23">
        <v>1</v>
      </c>
    </row>
    <row r="13" spans="1:33" ht="85.5" customHeight="1">
      <c r="A13" s="34">
        <v>11</v>
      </c>
      <c r="B13" s="33" t="s">
        <v>37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  <c r="M13" s="46">
        <v>1</v>
      </c>
      <c r="N13" s="46">
        <v>1</v>
      </c>
      <c r="O13" s="46">
        <v>1</v>
      </c>
      <c r="P13" s="46">
        <v>1</v>
      </c>
      <c r="Q13" s="46">
        <v>1</v>
      </c>
      <c r="R13" s="624" t="s">
        <v>610</v>
      </c>
      <c r="S13" s="229"/>
      <c r="T13" s="229"/>
      <c r="U13" s="229"/>
      <c r="V13" s="230"/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  <c r="AE13" s="23">
        <v>1</v>
      </c>
      <c r="AF13" s="23">
        <v>1</v>
      </c>
      <c r="AG13" s="23">
        <v>1</v>
      </c>
    </row>
    <row r="14" spans="1:33" ht="85.5" customHeight="1">
      <c r="A14" s="34">
        <v>12</v>
      </c>
      <c r="B14" s="35" t="s">
        <v>9</v>
      </c>
      <c r="C14" s="200" t="s">
        <v>571</v>
      </c>
      <c r="D14" s="200"/>
      <c r="E14" s="200"/>
      <c r="F14" s="167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108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  <c r="AG14" s="23">
        <v>1</v>
      </c>
    </row>
    <row r="15" spans="1:33" ht="85.5" customHeight="1">
      <c r="A15" s="34" t="s">
        <v>111</v>
      </c>
      <c r="B15" s="33" t="s">
        <v>112</v>
      </c>
      <c r="C15" s="47">
        <v>1</v>
      </c>
      <c r="D15" s="47">
        <v>1</v>
      </c>
      <c r="E15" s="47">
        <v>1</v>
      </c>
      <c r="F15" s="47">
        <v>1</v>
      </c>
      <c r="G15" s="47">
        <v>1</v>
      </c>
      <c r="H15" s="47">
        <v>1</v>
      </c>
      <c r="I15" s="121"/>
      <c r="J15" s="623" t="s">
        <v>611</v>
      </c>
      <c r="K15" s="270"/>
      <c r="L15" s="270"/>
      <c r="M15" s="270"/>
      <c r="N15" s="270"/>
      <c r="O15" s="270"/>
      <c r="P15" s="577"/>
      <c r="Q15" s="47">
        <v>1</v>
      </c>
      <c r="R15" s="47">
        <v>1</v>
      </c>
      <c r="S15" s="47">
        <v>1</v>
      </c>
      <c r="T15" s="47">
        <v>1</v>
      </c>
      <c r="U15" s="47">
        <v>1</v>
      </c>
      <c r="V15" s="23">
        <v>1</v>
      </c>
      <c r="W15" s="617" t="s">
        <v>612</v>
      </c>
      <c r="X15" s="618"/>
      <c r="Y15" s="619"/>
      <c r="Z15" s="213" t="s">
        <v>613</v>
      </c>
      <c r="AA15" s="618"/>
      <c r="AB15" s="618"/>
      <c r="AC15" s="618"/>
      <c r="AD15" s="619"/>
      <c r="AE15" s="23">
        <v>1</v>
      </c>
      <c r="AF15" s="23">
        <v>1</v>
      </c>
      <c r="AG15" s="23">
        <v>1</v>
      </c>
    </row>
    <row r="16" spans="1:33" ht="84.95" customHeight="1">
      <c r="A16" s="36"/>
      <c r="B16" s="37"/>
      <c r="C16" s="38" t="e">
        <f>(30*13-SUM(C17:AF20))/(30*13)</f>
        <v>#REF!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3" ht="85.5" customHeight="1">
      <c r="A17" s="2"/>
      <c r="B17" s="3" t="s">
        <v>121</v>
      </c>
      <c r="C17" s="2">
        <f t="shared" ref="C17:AF17" si="0">C28+C34</f>
        <v>0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2</v>
      </c>
      <c r="J17" s="4">
        <f t="shared" si="0"/>
        <v>2</v>
      </c>
      <c r="K17" s="4">
        <f t="shared" si="0"/>
        <v>2</v>
      </c>
      <c r="L17" s="4">
        <f t="shared" si="0"/>
        <v>2</v>
      </c>
      <c r="M17" s="4">
        <f t="shared" si="0"/>
        <v>1</v>
      </c>
      <c r="N17" s="4">
        <f t="shared" si="0"/>
        <v>1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1</v>
      </c>
      <c r="AG17" s="4">
        <f t="shared" ref="AG17" si="1">AG28+AG34</f>
        <v>2</v>
      </c>
    </row>
    <row r="18" spans="1:33" ht="85.5" customHeight="1">
      <c r="A18" s="2"/>
      <c r="B18" s="3" t="s">
        <v>122</v>
      </c>
      <c r="C18" s="2">
        <f t="shared" ref="C18:AF18" si="2">C26+C27+C31+C32+C33+C37</f>
        <v>3</v>
      </c>
      <c r="D18" s="2">
        <f t="shared" si="2"/>
        <v>2</v>
      </c>
      <c r="E18" s="4">
        <f t="shared" si="2"/>
        <v>1</v>
      </c>
      <c r="F18" s="4">
        <f t="shared" si="2"/>
        <v>0</v>
      </c>
      <c r="G18" s="4">
        <f t="shared" si="2"/>
        <v>0</v>
      </c>
      <c r="H18" s="4">
        <f t="shared" si="2"/>
        <v>1</v>
      </c>
      <c r="I18" s="4">
        <f t="shared" si="2"/>
        <v>1</v>
      </c>
      <c r="J18" s="4">
        <f t="shared" si="2"/>
        <v>1</v>
      </c>
      <c r="K18" s="4">
        <f t="shared" si="2"/>
        <v>2</v>
      </c>
      <c r="L18" s="4">
        <f t="shared" si="2"/>
        <v>1</v>
      </c>
      <c r="M18" s="4">
        <f t="shared" si="2"/>
        <v>3</v>
      </c>
      <c r="N18" s="4">
        <f t="shared" si="2"/>
        <v>3</v>
      </c>
      <c r="O18" s="4">
        <f t="shared" si="2"/>
        <v>2</v>
      </c>
      <c r="P18" s="4">
        <f t="shared" si="2"/>
        <v>2</v>
      </c>
      <c r="Q18" s="4">
        <f t="shared" si="2"/>
        <v>3</v>
      </c>
      <c r="R18" s="4">
        <f t="shared" si="2"/>
        <v>3</v>
      </c>
      <c r="S18" s="4">
        <f t="shared" si="2"/>
        <v>3</v>
      </c>
      <c r="T18" s="4">
        <f t="shared" si="2"/>
        <v>3</v>
      </c>
      <c r="U18" s="4">
        <f t="shared" si="2"/>
        <v>4</v>
      </c>
      <c r="V18" s="4">
        <f t="shared" si="2"/>
        <v>6</v>
      </c>
      <c r="W18" s="4">
        <f t="shared" si="2"/>
        <v>5</v>
      </c>
      <c r="X18" s="4">
        <f t="shared" si="2"/>
        <v>4</v>
      </c>
      <c r="Y18" s="4">
        <f t="shared" si="2"/>
        <v>2</v>
      </c>
      <c r="Z18" s="4">
        <f t="shared" si="2"/>
        <v>3</v>
      </c>
      <c r="AA18" s="4">
        <f t="shared" si="2"/>
        <v>2</v>
      </c>
      <c r="AB18" s="4">
        <f t="shared" si="2"/>
        <v>4</v>
      </c>
      <c r="AC18" s="4">
        <f t="shared" si="2"/>
        <v>4</v>
      </c>
      <c r="AD18" s="4">
        <f t="shared" si="2"/>
        <v>4</v>
      </c>
      <c r="AE18" s="4">
        <f t="shared" si="2"/>
        <v>2</v>
      </c>
      <c r="AF18" s="4">
        <f t="shared" si="2"/>
        <v>2</v>
      </c>
      <c r="AG18" s="4">
        <f t="shared" ref="AG18" si="3">AG26+AG27+AG31+AG32+AG33+AG37</f>
        <v>4</v>
      </c>
    </row>
    <row r="19" spans="1:33" ht="85.5" customHeight="1">
      <c r="A19" s="2"/>
      <c r="B19" s="3" t="s">
        <v>123</v>
      </c>
      <c r="C19" s="2">
        <f t="shared" ref="C19:AF19" si="4">C29+C30+C35+C36</f>
        <v>1</v>
      </c>
      <c r="D19" s="2">
        <f t="shared" si="4"/>
        <v>2</v>
      </c>
      <c r="E19" s="4">
        <f t="shared" si="4"/>
        <v>2</v>
      </c>
      <c r="F19" s="4">
        <f t="shared" si="4"/>
        <v>2</v>
      </c>
      <c r="G19" s="4">
        <f t="shared" si="4"/>
        <v>3</v>
      </c>
      <c r="H19" s="4">
        <f t="shared" si="4"/>
        <v>3</v>
      </c>
      <c r="I19" s="4">
        <f t="shared" si="4"/>
        <v>4</v>
      </c>
      <c r="J19" s="4">
        <f t="shared" si="4"/>
        <v>1</v>
      </c>
      <c r="K19" s="4">
        <f t="shared" si="4"/>
        <v>1</v>
      </c>
      <c r="L19" s="4">
        <f t="shared" si="4"/>
        <v>1</v>
      </c>
      <c r="M19" s="4">
        <f t="shared" si="4"/>
        <v>2</v>
      </c>
      <c r="N19" s="4">
        <f t="shared" si="4"/>
        <v>3</v>
      </c>
      <c r="O19" s="4">
        <f t="shared" si="4"/>
        <v>3</v>
      </c>
      <c r="P19" s="4">
        <f t="shared" si="4"/>
        <v>4</v>
      </c>
      <c r="Q19" s="4">
        <f t="shared" si="4"/>
        <v>4</v>
      </c>
      <c r="R19" s="4">
        <f t="shared" si="4"/>
        <v>3</v>
      </c>
      <c r="S19" s="4">
        <f t="shared" si="4"/>
        <v>3</v>
      </c>
      <c r="T19" s="4">
        <f t="shared" si="4"/>
        <v>3</v>
      </c>
      <c r="U19" s="4">
        <f t="shared" si="4"/>
        <v>3</v>
      </c>
      <c r="V19" s="4">
        <f t="shared" si="4"/>
        <v>3</v>
      </c>
      <c r="W19" s="4">
        <f t="shared" si="4"/>
        <v>3</v>
      </c>
      <c r="X19" s="4">
        <f t="shared" si="4"/>
        <v>2</v>
      </c>
      <c r="Y19" s="4">
        <f t="shared" si="4"/>
        <v>2</v>
      </c>
      <c r="Z19" s="4">
        <f t="shared" si="4"/>
        <v>3</v>
      </c>
      <c r="AA19" s="4">
        <f t="shared" si="4"/>
        <v>2</v>
      </c>
      <c r="AB19" s="4">
        <f t="shared" si="4"/>
        <v>2</v>
      </c>
      <c r="AC19" s="4">
        <f t="shared" si="4"/>
        <v>3</v>
      </c>
      <c r="AD19" s="4">
        <f t="shared" si="4"/>
        <v>2</v>
      </c>
      <c r="AE19" s="4">
        <f t="shared" si="4"/>
        <v>2</v>
      </c>
      <c r="AF19" s="4">
        <f t="shared" si="4"/>
        <v>2</v>
      </c>
      <c r="AG19" s="4">
        <f t="shared" ref="AG19" si="5">AG29+AG30+AG35+AG36</f>
        <v>4</v>
      </c>
    </row>
    <row r="20" spans="1:33" ht="85.5" customHeight="1">
      <c r="A20" s="2"/>
      <c r="B20" s="3" t="s">
        <v>124</v>
      </c>
      <c r="C20" s="2">
        <f t="shared" ref="C20:AF20" si="6">C38</f>
        <v>1</v>
      </c>
      <c r="D20" s="2">
        <f t="shared" si="6"/>
        <v>1</v>
      </c>
      <c r="E20" s="4">
        <f t="shared" si="6"/>
        <v>1</v>
      </c>
      <c r="F20" s="4">
        <f t="shared" si="6"/>
        <v>1</v>
      </c>
      <c r="G20" s="4">
        <f t="shared" si="6"/>
        <v>1</v>
      </c>
      <c r="H20" s="4">
        <f t="shared" si="6"/>
        <v>1</v>
      </c>
      <c r="I20" s="4">
        <f t="shared" si="6"/>
        <v>0</v>
      </c>
      <c r="J20" s="4" t="e">
        <f t="shared" si="6"/>
        <v>#REF!</v>
      </c>
      <c r="K20" s="4">
        <f t="shared" si="6"/>
        <v>0</v>
      </c>
      <c r="L20" s="4">
        <f t="shared" si="6"/>
        <v>0</v>
      </c>
      <c r="M20" s="4">
        <f t="shared" si="6"/>
        <v>0</v>
      </c>
      <c r="N20" s="4">
        <f t="shared" si="6"/>
        <v>0</v>
      </c>
      <c r="O20" s="4">
        <f t="shared" si="6"/>
        <v>0</v>
      </c>
      <c r="P20" s="4">
        <f t="shared" si="6"/>
        <v>0</v>
      </c>
      <c r="Q20" s="4">
        <f t="shared" si="6"/>
        <v>1</v>
      </c>
      <c r="R20" s="4">
        <f t="shared" si="6"/>
        <v>1</v>
      </c>
      <c r="S20" s="4">
        <f t="shared" si="6"/>
        <v>1</v>
      </c>
      <c r="T20" s="4">
        <f t="shared" si="6"/>
        <v>1</v>
      </c>
      <c r="U20" s="4">
        <f t="shared" si="6"/>
        <v>1</v>
      </c>
      <c r="V20" s="4">
        <f t="shared" si="6"/>
        <v>1</v>
      </c>
      <c r="W20" s="4">
        <f t="shared" si="6"/>
        <v>0</v>
      </c>
      <c r="X20" s="4">
        <f t="shared" si="6"/>
        <v>0</v>
      </c>
      <c r="Y20" s="4">
        <f t="shared" si="6"/>
        <v>0</v>
      </c>
      <c r="Z20" s="4">
        <f t="shared" si="6"/>
        <v>0</v>
      </c>
      <c r="AA20" s="4">
        <f t="shared" si="6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6"/>
        <v>1</v>
      </c>
      <c r="AF20" s="4">
        <f t="shared" si="6"/>
        <v>1</v>
      </c>
      <c r="AG20" s="4">
        <f t="shared" ref="AG20" si="7">AG38</f>
        <v>1</v>
      </c>
    </row>
    <row r="21" spans="1:33" ht="85.5" customHeight="1">
      <c r="C21" s="41">
        <f t="shared" ref="C21:AF21" si="8">SUM(C17:C20)</f>
        <v>5</v>
      </c>
      <c r="D21" s="41">
        <f t="shared" si="8"/>
        <v>5</v>
      </c>
      <c r="E21" s="41">
        <f t="shared" si="8"/>
        <v>4</v>
      </c>
      <c r="F21" s="41">
        <f t="shared" si="8"/>
        <v>3</v>
      </c>
      <c r="G21" s="41">
        <f t="shared" si="8"/>
        <v>4</v>
      </c>
      <c r="H21" s="41">
        <f t="shared" si="8"/>
        <v>5</v>
      </c>
      <c r="I21" s="41">
        <f t="shared" si="8"/>
        <v>7</v>
      </c>
      <c r="J21" s="41" t="e">
        <f t="shared" si="8"/>
        <v>#REF!</v>
      </c>
      <c r="K21" s="41">
        <f t="shared" si="8"/>
        <v>5</v>
      </c>
      <c r="L21" s="41">
        <f t="shared" si="8"/>
        <v>4</v>
      </c>
      <c r="M21" s="41">
        <f t="shared" si="8"/>
        <v>6</v>
      </c>
      <c r="N21" s="41">
        <f t="shared" si="8"/>
        <v>7</v>
      </c>
      <c r="O21" s="41">
        <f t="shared" si="8"/>
        <v>5</v>
      </c>
      <c r="P21" s="41">
        <f t="shared" si="8"/>
        <v>6</v>
      </c>
      <c r="Q21" s="41">
        <f t="shared" si="8"/>
        <v>8</v>
      </c>
      <c r="R21" s="41">
        <f t="shared" si="8"/>
        <v>7</v>
      </c>
      <c r="S21" s="41">
        <f t="shared" si="8"/>
        <v>7</v>
      </c>
      <c r="T21" s="41">
        <f t="shared" si="8"/>
        <v>7</v>
      </c>
      <c r="U21" s="41">
        <f t="shared" si="8"/>
        <v>8</v>
      </c>
      <c r="V21" s="41">
        <f t="shared" si="8"/>
        <v>10</v>
      </c>
      <c r="W21" s="41">
        <f t="shared" si="8"/>
        <v>8</v>
      </c>
      <c r="X21" s="41">
        <f t="shared" si="8"/>
        <v>6</v>
      </c>
      <c r="Y21" s="41">
        <f t="shared" si="8"/>
        <v>4</v>
      </c>
      <c r="Z21" s="41">
        <f t="shared" si="8"/>
        <v>6</v>
      </c>
      <c r="AA21" s="41">
        <f t="shared" si="8"/>
        <v>4</v>
      </c>
      <c r="AB21" s="41">
        <f t="shared" si="8"/>
        <v>6</v>
      </c>
      <c r="AC21" s="41">
        <f t="shared" si="8"/>
        <v>7</v>
      </c>
      <c r="AD21" s="41">
        <f t="shared" si="8"/>
        <v>6</v>
      </c>
      <c r="AE21" s="41">
        <f t="shared" si="8"/>
        <v>5</v>
      </c>
      <c r="AF21" s="41">
        <f t="shared" si="8"/>
        <v>6</v>
      </c>
      <c r="AG21" s="41">
        <f t="shared" ref="AG21" si="9">SUM(AG17:AG20)</f>
        <v>11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M34" si="10">IF(C3=1,1,0)</f>
        <v>1</v>
      </c>
      <c r="D26" s="40">
        <f t="shared" si="10"/>
        <v>0</v>
      </c>
      <c r="E26" s="40">
        <f t="shared" si="10"/>
        <v>0</v>
      </c>
      <c r="F26" s="40">
        <f t="shared" si="10"/>
        <v>0</v>
      </c>
      <c r="G26" s="40">
        <f t="shared" si="10"/>
        <v>0</v>
      </c>
      <c r="H26" s="40">
        <f t="shared" si="10"/>
        <v>0</v>
      </c>
      <c r="I26" s="40">
        <f t="shared" si="10"/>
        <v>0</v>
      </c>
      <c r="J26" s="40">
        <f t="shared" si="10"/>
        <v>0</v>
      </c>
      <c r="K26" s="40">
        <f t="shared" si="10"/>
        <v>1</v>
      </c>
      <c r="L26" s="40">
        <f t="shared" si="10"/>
        <v>0</v>
      </c>
      <c r="M26" s="40">
        <f t="shared" si="10"/>
        <v>0</v>
      </c>
      <c r="N26" s="40">
        <f t="shared" ref="N26:AG26" si="11">IF(N3=1,1,0)</f>
        <v>0</v>
      </c>
      <c r="O26" s="40">
        <f t="shared" si="11"/>
        <v>0</v>
      </c>
      <c r="P26" s="40">
        <f t="shared" si="11"/>
        <v>0</v>
      </c>
      <c r="Q26" s="40">
        <f t="shared" si="11"/>
        <v>1</v>
      </c>
      <c r="R26" s="40">
        <f t="shared" si="11"/>
        <v>1</v>
      </c>
      <c r="S26" s="40">
        <f t="shared" si="11"/>
        <v>1</v>
      </c>
      <c r="T26" s="40">
        <f t="shared" si="11"/>
        <v>1</v>
      </c>
      <c r="U26" s="40">
        <f t="shared" si="11"/>
        <v>1</v>
      </c>
      <c r="V26" s="40">
        <f t="shared" si="11"/>
        <v>1</v>
      </c>
      <c r="W26" s="40">
        <f t="shared" si="11"/>
        <v>0</v>
      </c>
      <c r="X26" s="40">
        <f t="shared" si="11"/>
        <v>0</v>
      </c>
      <c r="Y26" s="40">
        <f t="shared" si="11"/>
        <v>0</v>
      </c>
      <c r="Z26" s="40">
        <f t="shared" si="11"/>
        <v>1</v>
      </c>
      <c r="AA26" s="40">
        <f t="shared" si="11"/>
        <v>1</v>
      </c>
      <c r="AB26" s="40">
        <f t="shared" si="11"/>
        <v>1</v>
      </c>
      <c r="AC26" s="40">
        <f t="shared" si="11"/>
        <v>1</v>
      </c>
      <c r="AD26" s="40">
        <f t="shared" si="11"/>
        <v>1</v>
      </c>
      <c r="AE26" s="40">
        <f t="shared" si="11"/>
        <v>1</v>
      </c>
      <c r="AF26" s="40">
        <f t="shared" si="11"/>
        <v>1</v>
      </c>
      <c r="AG26" s="40">
        <f t="shared" si="11"/>
        <v>1</v>
      </c>
    </row>
    <row r="27" spans="1:33" ht="42" customHeight="1">
      <c r="B27" s="42">
        <v>2</v>
      </c>
      <c r="C27" s="40">
        <f t="shared" si="10"/>
        <v>0</v>
      </c>
      <c r="D27" s="40">
        <f t="shared" si="10"/>
        <v>0</v>
      </c>
      <c r="E27" s="40">
        <f t="shared" si="10"/>
        <v>0</v>
      </c>
      <c r="F27" s="40">
        <f t="shared" si="10"/>
        <v>0</v>
      </c>
      <c r="G27" s="40">
        <f t="shared" si="10"/>
        <v>0</v>
      </c>
      <c r="H27" s="40">
        <f t="shared" si="10"/>
        <v>0</v>
      </c>
      <c r="I27" s="40">
        <f t="shared" si="10"/>
        <v>0</v>
      </c>
      <c r="J27" s="40">
        <f t="shared" si="10"/>
        <v>0</v>
      </c>
      <c r="K27" s="40">
        <f t="shared" si="10"/>
        <v>0</v>
      </c>
      <c r="L27" s="40">
        <f t="shared" si="10"/>
        <v>0</v>
      </c>
      <c r="M27" s="40">
        <f t="shared" si="10"/>
        <v>0</v>
      </c>
      <c r="N27" s="40">
        <f t="shared" ref="N27:AG27" si="12">IF(N4=1,1,0)</f>
        <v>0</v>
      </c>
      <c r="O27" s="40">
        <f t="shared" si="12"/>
        <v>0</v>
      </c>
      <c r="P27" s="40">
        <f t="shared" si="12"/>
        <v>0</v>
      </c>
      <c r="Q27" s="40">
        <f t="shared" si="12"/>
        <v>0</v>
      </c>
      <c r="R27" s="40">
        <f t="shared" si="12"/>
        <v>0</v>
      </c>
      <c r="S27" s="40">
        <f t="shared" si="12"/>
        <v>0</v>
      </c>
      <c r="T27" s="40">
        <f t="shared" si="12"/>
        <v>0</v>
      </c>
      <c r="U27" s="40">
        <f t="shared" si="12"/>
        <v>1</v>
      </c>
      <c r="V27" s="40">
        <f t="shared" si="12"/>
        <v>1</v>
      </c>
      <c r="W27" s="40">
        <f t="shared" si="12"/>
        <v>1</v>
      </c>
      <c r="X27" s="40">
        <f t="shared" si="12"/>
        <v>1</v>
      </c>
      <c r="Y27" s="40">
        <f t="shared" si="12"/>
        <v>1</v>
      </c>
      <c r="Z27" s="40">
        <f t="shared" si="12"/>
        <v>1</v>
      </c>
      <c r="AA27" s="40">
        <f t="shared" si="12"/>
        <v>0</v>
      </c>
      <c r="AB27" s="40">
        <f t="shared" si="12"/>
        <v>0</v>
      </c>
      <c r="AC27" s="40">
        <f t="shared" si="12"/>
        <v>0</v>
      </c>
      <c r="AD27" s="40">
        <f t="shared" ref="AD27:AE27" si="13">IF(AD4=1,1,0)</f>
        <v>0</v>
      </c>
      <c r="AE27" s="40">
        <f t="shared" si="13"/>
        <v>0</v>
      </c>
      <c r="AF27" s="40">
        <f t="shared" si="12"/>
        <v>0</v>
      </c>
      <c r="AG27" s="40">
        <f t="shared" si="12"/>
        <v>0</v>
      </c>
    </row>
    <row r="28" spans="1:33" ht="42" customHeight="1">
      <c r="B28" s="43">
        <v>3</v>
      </c>
      <c r="C28" s="40">
        <f t="shared" si="10"/>
        <v>0</v>
      </c>
      <c r="D28" s="40">
        <f t="shared" si="10"/>
        <v>0</v>
      </c>
      <c r="E28" s="40">
        <f t="shared" si="10"/>
        <v>0</v>
      </c>
      <c r="F28" s="40">
        <f t="shared" si="10"/>
        <v>0</v>
      </c>
      <c r="G28" s="40">
        <f t="shared" si="10"/>
        <v>0</v>
      </c>
      <c r="H28" s="40">
        <f t="shared" si="10"/>
        <v>0</v>
      </c>
      <c r="I28" s="40">
        <f t="shared" si="10"/>
        <v>1</v>
      </c>
      <c r="J28" s="40">
        <f t="shared" si="10"/>
        <v>1</v>
      </c>
      <c r="K28" s="40">
        <f t="shared" si="10"/>
        <v>1</v>
      </c>
      <c r="L28" s="40">
        <f t="shared" si="10"/>
        <v>1</v>
      </c>
      <c r="M28" s="40">
        <f t="shared" si="10"/>
        <v>1</v>
      </c>
      <c r="N28" s="40">
        <f t="shared" ref="N28:AG28" si="14">IF(N5=1,1,0)</f>
        <v>1</v>
      </c>
      <c r="O28" s="40">
        <f t="shared" si="14"/>
        <v>0</v>
      </c>
      <c r="P28" s="40">
        <f t="shared" si="14"/>
        <v>0</v>
      </c>
      <c r="Q28" s="40">
        <f t="shared" si="14"/>
        <v>0</v>
      </c>
      <c r="R28" s="40">
        <f t="shared" si="14"/>
        <v>0</v>
      </c>
      <c r="S28" s="40">
        <f t="shared" si="14"/>
        <v>0</v>
      </c>
      <c r="T28" s="40">
        <f t="shared" si="14"/>
        <v>0</v>
      </c>
      <c r="U28" s="40">
        <f t="shared" si="14"/>
        <v>0</v>
      </c>
      <c r="V28" s="40">
        <f t="shared" si="14"/>
        <v>0</v>
      </c>
      <c r="W28" s="40">
        <f t="shared" si="14"/>
        <v>0</v>
      </c>
      <c r="X28" s="40">
        <f t="shared" si="14"/>
        <v>0</v>
      </c>
      <c r="Y28" s="40">
        <f t="shared" si="14"/>
        <v>0</v>
      </c>
      <c r="Z28" s="40">
        <f t="shared" si="14"/>
        <v>0</v>
      </c>
      <c r="AA28" s="40">
        <f t="shared" si="14"/>
        <v>0</v>
      </c>
      <c r="AB28" s="40">
        <f t="shared" si="14"/>
        <v>0</v>
      </c>
      <c r="AC28" s="40">
        <f t="shared" si="14"/>
        <v>0</v>
      </c>
      <c r="AD28" s="40">
        <f t="shared" ref="AD28:AE28" si="15">IF(AD5=1,1,0)</f>
        <v>0</v>
      </c>
      <c r="AE28" s="40">
        <f t="shared" si="15"/>
        <v>0</v>
      </c>
      <c r="AF28" s="40">
        <f>IF(AD5=1,1,0)</f>
        <v>0</v>
      </c>
      <c r="AG28" s="40">
        <f t="shared" si="14"/>
        <v>1</v>
      </c>
    </row>
    <row r="29" spans="1:33" ht="42" customHeight="1">
      <c r="B29" s="44">
        <v>4</v>
      </c>
      <c r="C29" s="40">
        <f t="shared" si="10"/>
        <v>0</v>
      </c>
      <c r="D29" s="40">
        <f t="shared" si="10"/>
        <v>0</v>
      </c>
      <c r="E29" s="40">
        <f t="shared" si="10"/>
        <v>0</v>
      </c>
      <c r="F29" s="40">
        <f t="shared" si="10"/>
        <v>0</v>
      </c>
      <c r="G29" s="40">
        <f t="shared" si="10"/>
        <v>1</v>
      </c>
      <c r="H29" s="40">
        <f t="shared" si="10"/>
        <v>1</v>
      </c>
      <c r="I29" s="40">
        <f t="shared" si="10"/>
        <v>1</v>
      </c>
      <c r="J29" s="40">
        <f t="shared" si="10"/>
        <v>0</v>
      </c>
      <c r="K29" s="40">
        <f t="shared" si="10"/>
        <v>0</v>
      </c>
      <c r="L29" s="40">
        <f t="shared" si="10"/>
        <v>0</v>
      </c>
      <c r="M29" s="40">
        <f t="shared" si="10"/>
        <v>0</v>
      </c>
      <c r="N29" s="40">
        <f t="shared" ref="N29:AG29" si="16">IF(N6=1,1,0)</f>
        <v>1</v>
      </c>
      <c r="O29" s="40">
        <f t="shared" si="16"/>
        <v>1</v>
      </c>
      <c r="P29" s="40">
        <f t="shared" si="16"/>
        <v>1</v>
      </c>
      <c r="Q29" s="40">
        <f t="shared" si="16"/>
        <v>1</v>
      </c>
      <c r="R29" s="40">
        <f t="shared" si="16"/>
        <v>1</v>
      </c>
      <c r="S29" s="40">
        <f t="shared" si="16"/>
        <v>1</v>
      </c>
      <c r="T29" s="40">
        <f t="shared" si="16"/>
        <v>1</v>
      </c>
      <c r="U29" s="40">
        <f t="shared" si="16"/>
        <v>1</v>
      </c>
      <c r="V29" s="40">
        <f t="shared" si="16"/>
        <v>1</v>
      </c>
      <c r="W29" s="40">
        <f t="shared" si="16"/>
        <v>0</v>
      </c>
      <c r="X29" s="40">
        <f t="shared" si="16"/>
        <v>0</v>
      </c>
      <c r="Y29" s="40">
        <f t="shared" si="16"/>
        <v>0</v>
      </c>
      <c r="Z29" s="40">
        <f t="shared" si="16"/>
        <v>1</v>
      </c>
      <c r="AA29" s="40">
        <f t="shared" si="16"/>
        <v>0</v>
      </c>
      <c r="AB29" s="40">
        <f t="shared" si="16"/>
        <v>0</v>
      </c>
      <c r="AC29" s="40">
        <f t="shared" si="16"/>
        <v>0</v>
      </c>
      <c r="AD29" s="40">
        <f t="shared" ref="AD29:AE29" si="17">IF(AD6=1,1,0)</f>
        <v>0</v>
      </c>
      <c r="AE29" s="40">
        <f t="shared" si="17"/>
        <v>0</v>
      </c>
      <c r="AF29" s="40">
        <f t="shared" si="16"/>
        <v>0</v>
      </c>
      <c r="AG29" s="40">
        <f t="shared" si="16"/>
        <v>1</v>
      </c>
    </row>
    <row r="30" spans="1:33" ht="42" customHeight="1">
      <c r="B30" s="44">
        <v>5</v>
      </c>
      <c r="C30" s="40">
        <f t="shared" si="10"/>
        <v>0</v>
      </c>
      <c r="D30" s="40">
        <f t="shared" si="10"/>
        <v>0</v>
      </c>
      <c r="E30" s="40">
        <f t="shared" si="10"/>
        <v>0</v>
      </c>
      <c r="F30" s="40">
        <f t="shared" si="10"/>
        <v>0</v>
      </c>
      <c r="G30" s="40">
        <f t="shared" si="10"/>
        <v>0</v>
      </c>
      <c r="H30" s="40">
        <f t="shared" si="10"/>
        <v>0</v>
      </c>
      <c r="I30" s="40">
        <f t="shared" si="10"/>
        <v>1</v>
      </c>
      <c r="J30" s="40">
        <f t="shared" si="10"/>
        <v>0</v>
      </c>
      <c r="K30" s="40">
        <f t="shared" si="10"/>
        <v>0</v>
      </c>
      <c r="L30" s="40">
        <f t="shared" si="10"/>
        <v>0</v>
      </c>
      <c r="M30" s="40">
        <f t="shared" si="10"/>
        <v>0</v>
      </c>
      <c r="N30" s="40">
        <f t="shared" ref="N30:AG30" si="18">IF(N7=1,1,0)</f>
        <v>0</v>
      </c>
      <c r="O30" s="40">
        <f t="shared" si="18"/>
        <v>0</v>
      </c>
      <c r="P30" s="40">
        <f t="shared" si="18"/>
        <v>1</v>
      </c>
      <c r="Q30" s="40">
        <f t="shared" si="18"/>
        <v>1</v>
      </c>
      <c r="R30" s="40">
        <f t="shared" si="18"/>
        <v>1</v>
      </c>
      <c r="S30" s="40">
        <f t="shared" si="18"/>
        <v>1</v>
      </c>
      <c r="T30" s="40">
        <f t="shared" si="18"/>
        <v>1</v>
      </c>
      <c r="U30" s="40">
        <f t="shared" si="18"/>
        <v>1</v>
      </c>
      <c r="V30" s="40">
        <f t="shared" si="18"/>
        <v>1</v>
      </c>
      <c r="W30" s="40">
        <f t="shared" si="18"/>
        <v>1</v>
      </c>
      <c r="X30" s="40">
        <f t="shared" si="18"/>
        <v>0</v>
      </c>
      <c r="Y30" s="40">
        <f t="shared" si="18"/>
        <v>0</v>
      </c>
      <c r="Z30" s="40">
        <f t="shared" si="18"/>
        <v>0</v>
      </c>
      <c r="AA30" s="40">
        <f t="shared" si="18"/>
        <v>0</v>
      </c>
      <c r="AB30" s="40">
        <f t="shared" si="18"/>
        <v>0</v>
      </c>
      <c r="AC30" s="40">
        <f t="shared" si="18"/>
        <v>1</v>
      </c>
      <c r="AD30" s="40">
        <f t="shared" ref="AD30:AE30" si="19">IF(AD7=1,1,0)</f>
        <v>0</v>
      </c>
      <c r="AE30" s="40">
        <f t="shared" si="19"/>
        <v>0</v>
      </c>
      <c r="AF30" s="40">
        <f t="shared" si="18"/>
        <v>0</v>
      </c>
      <c r="AG30" s="40">
        <f t="shared" si="18"/>
        <v>1</v>
      </c>
    </row>
    <row r="31" spans="1:33" ht="42" customHeight="1">
      <c r="B31" s="42">
        <v>6</v>
      </c>
      <c r="C31" s="40">
        <f t="shared" si="10"/>
        <v>0</v>
      </c>
      <c r="D31" s="40">
        <f t="shared" si="10"/>
        <v>0</v>
      </c>
      <c r="E31" s="40">
        <f t="shared" si="10"/>
        <v>0</v>
      </c>
      <c r="F31" s="40">
        <f t="shared" si="10"/>
        <v>0</v>
      </c>
      <c r="G31" s="40">
        <f t="shared" si="10"/>
        <v>0</v>
      </c>
      <c r="H31" s="40">
        <f t="shared" si="10"/>
        <v>1</v>
      </c>
      <c r="I31" s="40">
        <f t="shared" si="10"/>
        <v>1</v>
      </c>
      <c r="J31" s="40">
        <f t="shared" si="10"/>
        <v>1</v>
      </c>
      <c r="K31" s="40">
        <f t="shared" si="10"/>
        <v>1</v>
      </c>
      <c r="L31" s="40">
        <f t="shared" si="10"/>
        <v>1</v>
      </c>
      <c r="M31" s="40">
        <f t="shared" si="10"/>
        <v>1</v>
      </c>
      <c r="N31" s="40">
        <f t="shared" ref="N31:AG31" si="20">IF(N8=1,1,0)</f>
        <v>1</v>
      </c>
      <c r="O31" s="40">
        <f t="shared" si="20"/>
        <v>0</v>
      </c>
      <c r="P31" s="40">
        <f t="shared" si="20"/>
        <v>0</v>
      </c>
      <c r="Q31" s="40">
        <f t="shared" si="20"/>
        <v>0</v>
      </c>
      <c r="R31" s="40">
        <f t="shared" si="20"/>
        <v>0</v>
      </c>
      <c r="S31" s="40">
        <f t="shared" si="20"/>
        <v>1</v>
      </c>
      <c r="T31" s="40">
        <f t="shared" si="20"/>
        <v>1</v>
      </c>
      <c r="U31" s="40">
        <f t="shared" si="20"/>
        <v>1</v>
      </c>
      <c r="V31" s="40">
        <f t="shared" si="20"/>
        <v>1</v>
      </c>
      <c r="W31" s="40">
        <f t="shared" si="20"/>
        <v>1</v>
      </c>
      <c r="X31" s="40">
        <f t="shared" si="20"/>
        <v>0</v>
      </c>
      <c r="Y31" s="40">
        <f t="shared" si="20"/>
        <v>0</v>
      </c>
      <c r="Z31" s="40">
        <f t="shared" si="20"/>
        <v>0</v>
      </c>
      <c r="AA31" s="40">
        <f t="shared" si="20"/>
        <v>0</v>
      </c>
      <c r="AB31" s="40">
        <f t="shared" si="20"/>
        <v>0</v>
      </c>
      <c r="AC31" s="40">
        <f t="shared" si="20"/>
        <v>0</v>
      </c>
      <c r="AD31" s="40">
        <f t="shared" ref="AD31:AE31" si="21">IF(AD8=1,1,0)</f>
        <v>0</v>
      </c>
      <c r="AE31" s="40">
        <f t="shared" si="21"/>
        <v>0</v>
      </c>
      <c r="AF31" s="40">
        <f t="shared" si="20"/>
        <v>0</v>
      </c>
      <c r="AG31" s="40">
        <f t="shared" si="20"/>
        <v>0</v>
      </c>
    </row>
    <row r="32" spans="1:33" ht="42" customHeight="1">
      <c r="B32" s="42">
        <v>7</v>
      </c>
      <c r="C32" s="40">
        <f t="shared" si="10"/>
        <v>1</v>
      </c>
      <c r="D32" s="40">
        <f t="shared" si="10"/>
        <v>1</v>
      </c>
      <c r="E32" s="40">
        <f t="shared" si="10"/>
        <v>1</v>
      </c>
      <c r="F32" s="40">
        <f t="shared" si="10"/>
        <v>0</v>
      </c>
      <c r="G32" s="40">
        <f t="shared" si="10"/>
        <v>0</v>
      </c>
      <c r="H32" s="40">
        <f t="shared" si="10"/>
        <v>0</v>
      </c>
      <c r="I32" s="40">
        <f t="shared" si="10"/>
        <v>0</v>
      </c>
      <c r="J32" s="40">
        <f t="shared" si="10"/>
        <v>0</v>
      </c>
      <c r="K32" s="40">
        <f t="shared" si="10"/>
        <v>0</v>
      </c>
      <c r="L32" s="40">
        <f t="shared" si="10"/>
        <v>0</v>
      </c>
      <c r="M32" s="40">
        <f t="shared" si="10"/>
        <v>1</v>
      </c>
      <c r="N32" s="40">
        <f t="shared" ref="N32:AG32" si="22">IF(N9=1,1,0)</f>
        <v>1</v>
      </c>
      <c r="O32" s="40">
        <f t="shared" si="22"/>
        <v>1</v>
      </c>
      <c r="P32" s="40">
        <f t="shared" si="22"/>
        <v>1</v>
      </c>
      <c r="Q32" s="40">
        <f t="shared" si="22"/>
        <v>1</v>
      </c>
      <c r="R32" s="40">
        <f t="shared" si="22"/>
        <v>1</v>
      </c>
      <c r="S32" s="40">
        <f t="shared" si="22"/>
        <v>0</v>
      </c>
      <c r="T32" s="40">
        <f t="shared" si="22"/>
        <v>0</v>
      </c>
      <c r="U32" s="40">
        <f t="shared" si="22"/>
        <v>0</v>
      </c>
      <c r="V32" s="40">
        <f t="shared" si="22"/>
        <v>1</v>
      </c>
      <c r="W32" s="40">
        <f t="shared" si="22"/>
        <v>1</v>
      </c>
      <c r="X32" s="40">
        <f t="shared" si="22"/>
        <v>1</v>
      </c>
      <c r="Y32" s="40">
        <f t="shared" si="22"/>
        <v>0</v>
      </c>
      <c r="Z32" s="40">
        <f t="shared" si="22"/>
        <v>0</v>
      </c>
      <c r="AA32" s="40">
        <f t="shared" si="22"/>
        <v>0</v>
      </c>
      <c r="AB32" s="40">
        <f t="shared" si="22"/>
        <v>1</v>
      </c>
      <c r="AC32" s="40">
        <f t="shared" si="22"/>
        <v>1</v>
      </c>
      <c r="AD32" s="40">
        <f t="shared" ref="AD32:AE32" si="23">IF(AD9=1,1,0)</f>
        <v>1</v>
      </c>
      <c r="AE32" s="40">
        <f t="shared" si="23"/>
        <v>0</v>
      </c>
      <c r="AF32" s="40">
        <f t="shared" si="22"/>
        <v>0</v>
      </c>
      <c r="AG32" s="40">
        <f t="shared" si="22"/>
        <v>1</v>
      </c>
    </row>
    <row r="33" spans="2:33" ht="42" customHeight="1">
      <c r="B33" s="42">
        <v>8</v>
      </c>
      <c r="C33" s="40">
        <f t="shared" si="10"/>
        <v>1</v>
      </c>
      <c r="D33" s="40">
        <f t="shared" si="10"/>
        <v>1</v>
      </c>
      <c r="E33" s="40">
        <f t="shared" si="10"/>
        <v>0</v>
      </c>
      <c r="F33" s="40">
        <f t="shared" si="10"/>
        <v>0</v>
      </c>
      <c r="G33" s="40">
        <f t="shared" si="10"/>
        <v>0</v>
      </c>
      <c r="H33" s="40">
        <f t="shared" si="10"/>
        <v>0</v>
      </c>
      <c r="I33" s="40">
        <f t="shared" si="10"/>
        <v>0</v>
      </c>
      <c r="J33" s="40">
        <f t="shared" si="10"/>
        <v>0</v>
      </c>
      <c r="K33" s="40">
        <f t="shared" si="10"/>
        <v>0</v>
      </c>
      <c r="L33" s="40">
        <f t="shared" si="10"/>
        <v>0</v>
      </c>
      <c r="M33" s="40">
        <f t="shared" si="10"/>
        <v>1</v>
      </c>
      <c r="N33" s="40">
        <f t="shared" ref="N33:AG33" si="24">IF(N10=1,1,0)</f>
        <v>1</v>
      </c>
      <c r="O33" s="40">
        <f t="shared" si="24"/>
        <v>1</v>
      </c>
      <c r="P33" s="40">
        <f t="shared" si="24"/>
        <v>1</v>
      </c>
      <c r="Q33" s="40">
        <f t="shared" si="24"/>
        <v>1</v>
      </c>
      <c r="R33" s="40">
        <f t="shared" si="24"/>
        <v>1</v>
      </c>
      <c r="S33" s="40">
        <f t="shared" si="24"/>
        <v>1</v>
      </c>
      <c r="T33" s="40">
        <f t="shared" si="24"/>
        <v>1</v>
      </c>
      <c r="U33" s="40">
        <f t="shared" si="24"/>
        <v>1</v>
      </c>
      <c r="V33" s="40">
        <f t="shared" si="24"/>
        <v>1</v>
      </c>
      <c r="W33" s="40">
        <f t="shared" si="24"/>
        <v>1</v>
      </c>
      <c r="X33" s="40">
        <f t="shared" si="24"/>
        <v>1</v>
      </c>
      <c r="Y33" s="40">
        <f t="shared" si="24"/>
        <v>0</v>
      </c>
      <c r="Z33" s="40">
        <f t="shared" si="24"/>
        <v>0</v>
      </c>
      <c r="AA33" s="40">
        <f t="shared" si="24"/>
        <v>0</v>
      </c>
      <c r="AB33" s="40">
        <f t="shared" si="24"/>
        <v>1</v>
      </c>
      <c r="AC33" s="40">
        <f t="shared" si="24"/>
        <v>1</v>
      </c>
      <c r="AD33" s="40">
        <f t="shared" ref="AD33:AE33" si="25">IF(AD10=1,1,0)</f>
        <v>1</v>
      </c>
      <c r="AE33" s="40">
        <f t="shared" si="25"/>
        <v>0</v>
      </c>
      <c r="AF33" s="40">
        <f t="shared" si="24"/>
        <v>0</v>
      </c>
      <c r="AG33" s="40">
        <f t="shared" si="24"/>
        <v>1</v>
      </c>
    </row>
    <row r="34" spans="2:33" ht="42" customHeight="1">
      <c r="B34" s="43">
        <v>9</v>
      </c>
      <c r="C34" s="40">
        <f t="shared" si="10"/>
        <v>0</v>
      </c>
      <c r="D34" s="40">
        <f t="shared" si="10"/>
        <v>0</v>
      </c>
      <c r="E34" s="40">
        <f t="shared" si="10"/>
        <v>0</v>
      </c>
      <c r="F34" s="40">
        <f t="shared" si="10"/>
        <v>0</v>
      </c>
      <c r="G34" s="40">
        <f t="shared" si="10"/>
        <v>0</v>
      </c>
      <c r="H34" s="40">
        <f t="shared" si="10"/>
        <v>0</v>
      </c>
      <c r="I34" s="40">
        <f t="shared" si="10"/>
        <v>1</v>
      </c>
      <c r="J34" s="40">
        <f t="shared" si="10"/>
        <v>1</v>
      </c>
      <c r="K34" s="40">
        <f t="shared" si="10"/>
        <v>1</v>
      </c>
      <c r="L34" s="40">
        <f t="shared" si="10"/>
        <v>1</v>
      </c>
      <c r="M34" s="40">
        <f t="shared" si="10"/>
        <v>0</v>
      </c>
      <c r="N34" s="40">
        <f t="shared" ref="N34:AG34" si="26">IF(N11=1,1,0)</f>
        <v>0</v>
      </c>
      <c r="O34" s="40">
        <f t="shared" si="26"/>
        <v>0</v>
      </c>
      <c r="P34" s="40">
        <f t="shared" si="26"/>
        <v>0</v>
      </c>
      <c r="Q34" s="40">
        <f t="shared" si="26"/>
        <v>0</v>
      </c>
      <c r="R34" s="40">
        <f t="shared" si="26"/>
        <v>0</v>
      </c>
      <c r="S34" s="40">
        <f t="shared" si="26"/>
        <v>0</v>
      </c>
      <c r="T34" s="40">
        <f t="shared" si="26"/>
        <v>0</v>
      </c>
      <c r="U34" s="40">
        <f t="shared" si="26"/>
        <v>0</v>
      </c>
      <c r="V34" s="40">
        <f t="shared" si="26"/>
        <v>0</v>
      </c>
      <c r="W34" s="40">
        <f t="shared" si="26"/>
        <v>0</v>
      </c>
      <c r="X34" s="40">
        <f t="shared" si="26"/>
        <v>0</v>
      </c>
      <c r="Y34" s="40">
        <f t="shared" si="26"/>
        <v>0</v>
      </c>
      <c r="Z34" s="40">
        <f t="shared" si="26"/>
        <v>0</v>
      </c>
      <c r="AA34" s="40">
        <f t="shared" si="26"/>
        <v>0</v>
      </c>
      <c r="AB34" s="40">
        <f t="shared" si="26"/>
        <v>0</v>
      </c>
      <c r="AC34" s="40">
        <f t="shared" si="26"/>
        <v>0</v>
      </c>
      <c r="AD34" s="40">
        <f t="shared" si="26"/>
        <v>0</v>
      </c>
      <c r="AE34" s="40">
        <f t="shared" si="26"/>
        <v>0</v>
      </c>
      <c r="AF34" s="40">
        <f t="shared" si="26"/>
        <v>1</v>
      </c>
      <c r="AG34" s="40">
        <f t="shared" si="26"/>
        <v>1</v>
      </c>
    </row>
    <row r="35" spans="2:33" ht="42" customHeight="1">
      <c r="B35" s="44">
        <v>10</v>
      </c>
      <c r="C35" s="40">
        <f t="shared" ref="C35:M38" si="27">IF(C12=1,1,0)</f>
        <v>0</v>
      </c>
      <c r="D35" s="40">
        <f t="shared" si="27"/>
        <v>1</v>
      </c>
      <c r="E35" s="40">
        <f t="shared" si="27"/>
        <v>1</v>
      </c>
      <c r="F35" s="40">
        <f t="shared" si="27"/>
        <v>1</v>
      </c>
      <c r="G35" s="40">
        <f t="shared" si="27"/>
        <v>1</v>
      </c>
      <c r="H35" s="40">
        <f t="shared" si="27"/>
        <v>1</v>
      </c>
      <c r="I35" s="40">
        <f t="shared" si="27"/>
        <v>1</v>
      </c>
      <c r="J35" s="40">
        <f t="shared" si="27"/>
        <v>0</v>
      </c>
      <c r="K35" s="40">
        <f t="shared" si="27"/>
        <v>0</v>
      </c>
      <c r="L35" s="40">
        <f t="shared" si="27"/>
        <v>0</v>
      </c>
      <c r="M35" s="40">
        <f t="shared" si="27"/>
        <v>1</v>
      </c>
      <c r="N35" s="40">
        <f t="shared" ref="N35:AG35" si="28">IF(N12=1,1,0)</f>
        <v>1</v>
      </c>
      <c r="O35" s="40">
        <f t="shared" si="28"/>
        <v>1</v>
      </c>
      <c r="P35" s="40">
        <f t="shared" si="28"/>
        <v>1</v>
      </c>
      <c r="Q35" s="40">
        <f t="shared" si="28"/>
        <v>1</v>
      </c>
      <c r="R35" s="40">
        <f t="shared" si="28"/>
        <v>1</v>
      </c>
      <c r="S35" s="40">
        <f t="shared" si="28"/>
        <v>1</v>
      </c>
      <c r="T35" s="40">
        <f t="shared" si="28"/>
        <v>1</v>
      </c>
      <c r="U35" s="40">
        <f t="shared" si="28"/>
        <v>1</v>
      </c>
      <c r="V35" s="40">
        <f t="shared" si="28"/>
        <v>1</v>
      </c>
      <c r="W35" s="40">
        <f t="shared" si="28"/>
        <v>1</v>
      </c>
      <c r="X35" s="40">
        <f t="shared" si="28"/>
        <v>1</v>
      </c>
      <c r="Y35" s="40">
        <f t="shared" si="28"/>
        <v>1</v>
      </c>
      <c r="Z35" s="40">
        <f t="shared" si="28"/>
        <v>1</v>
      </c>
      <c r="AA35" s="40">
        <f t="shared" si="28"/>
        <v>1</v>
      </c>
      <c r="AB35" s="40">
        <f t="shared" si="28"/>
        <v>1</v>
      </c>
      <c r="AC35" s="40">
        <f t="shared" si="28"/>
        <v>1</v>
      </c>
      <c r="AD35" s="40">
        <f t="shared" si="28"/>
        <v>1</v>
      </c>
      <c r="AE35" s="40">
        <f t="shared" si="28"/>
        <v>1</v>
      </c>
      <c r="AF35" s="40">
        <f t="shared" si="28"/>
        <v>1</v>
      </c>
      <c r="AG35" s="40">
        <f t="shared" si="28"/>
        <v>1</v>
      </c>
    </row>
    <row r="36" spans="2:33" ht="42" customHeight="1">
      <c r="B36" s="44">
        <v>11</v>
      </c>
      <c r="C36" s="40">
        <f t="shared" si="27"/>
        <v>1</v>
      </c>
      <c r="D36" s="40">
        <f t="shared" si="27"/>
        <v>1</v>
      </c>
      <c r="E36" s="40">
        <f t="shared" si="27"/>
        <v>1</v>
      </c>
      <c r="F36" s="40">
        <f t="shared" si="27"/>
        <v>1</v>
      </c>
      <c r="G36" s="40">
        <f t="shared" si="27"/>
        <v>1</v>
      </c>
      <c r="H36" s="40">
        <f t="shared" si="27"/>
        <v>1</v>
      </c>
      <c r="I36" s="40">
        <f t="shared" si="27"/>
        <v>1</v>
      </c>
      <c r="J36" s="40">
        <f t="shared" si="27"/>
        <v>1</v>
      </c>
      <c r="K36" s="40">
        <f t="shared" si="27"/>
        <v>1</v>
      </c>
      <c r="L36" s="40">
        <f t="shared" si="27"/>
        <v>1</v>
      </c>
      <c r="M36" s="40">
        <f t="shared" si="27"/>
        <v>1</v>
      </c>
      <c r="N36" s="40">
        <f t="shared" ref="N36:AG36" si="29">IF(N13=1,1,0)</f>
        <v>1</v>
      </c>
      <c r="O36" s="40">
        <f t="shared" si="29"/>
        <v>1</v>
      </c>
      <c r="P36" s="40">
        <f t="shared" si="29"/>
        <v>1</v>
      </c>
      <c r="Q36" s="40">
        <f t="shared" si="29"/>
        <v>1</v>
      </c>
      <c r="R36" s="40">
        <f t="shared" si="29"/>
        <v>0</v>
      </c>
      <c r="S36" s="40">
        <f t="shared" si="29"/>
        <v>0</v>
      </c>
      <c r="T36" s="40">
        <f t="shared" si="29"/>
        <v>0</v>
      </c>
      <c r="U36" s="40">
        <f t="shared" si="29"/>
        <v>0</v>
      </c>
      <c r="V36" s="40">
        <f t="shared" si="29"/>
        <v>0</v>
      </c>
      <c r="W36" s="40">
        <f t="shared" si="29"/>
        <v>1</v>
      </c>
      <c r="X36" s="40">
        <f t="shared" si="29"/>
        <v>1</v>
      </c>
      <c r="Y36" s="40">
        <f t="shared" si="29"/>
        <v>1</v>
      </c>
      <c r="Z36" s="40">
        <f t="shared" si="29"/>
        <v>1</v>
      </c>
      <c r="AA36" s="40">
        <f t="shared" si="29"/>
        <v>1</v>
      </c>
      <c r="AB36" s="40">
        <f t="shared" si="29"/>
        <v>1</v>
      </c>
      <c r="AC36" s="40">
        <f t="shared" si="29"/>
        <v>1</v>
      </c>
      <c r="AD36" s="40">
        <f t="shared" si="29"/>
        <v>1</v>
      </c>
      <c r="AE36" s="40">
        <f t="shared" si="29"/>
        <v>1</v>
      </c>
      <c r="AF36" s="40">
        <f t="shared" si="29"/>
        <v>1</v>
      </c>
      <c r="AG36" s="40">
        <f t="shared" si="29"/>
        <v>1</v>
      </c>
    </row>
    <row r="37" spans="2:33" ht="42" customHeight="1">
      <c r="B37" s="42">
        <v>12</v>
      </c>
      <c r="C37" s="40">
        <f t="shared" si="27"/>
        <v>0</v>
      </c>
      <c r="D37" s="40">
        <f t="shared" si="27"/>
        <v>0</v>
      </c>
      <c r="E37" s="40">
        <f t="shared" si="27"/>
        <v>0</v>
      </c>
      <c r="F37" s="40">
        <f t="shared" si="27"/>
        <v>0</v>
      </c>
      <c r="G37" s="40">
        <f t="shared" si="27"/>
        <v>0</v>
      </c>
      <c r="H37" s="40">
        <f t="shared" si="27"/>
        <v>0</v>
      </c>
      <c r="I37" s="40">
        <f t="shared" si="27"/>
        <v>0</v>
      </c>
      <c r="J37" s="40">
        <f t="shared" si="27"/>
        <v>0</v>
      </c>
      <c r="K37" s="40">
        <f t="shared" si="27"/>
        <v>0</v>
      </c>
      <c r="L37" s="40">
        <f t="shared" si="27"/>
        <v>0</v>
      </c>
      <c r="M37" s="40">
        <f t="shared" si="27"/>
        <v>0</v>
      </c>
      <c r="N37" s="40">
        <f t="shared" ref="N37:AG37" si="30">IF(N14=1,1,0)</f>
        <v>0</v>
      </c>
      <c r="O37" s="40">
        <f t="shared" si="30"/>
        <v>0</v>
      </c>
      <c r="P37" s="40">
        <f t="shared" si="30"/>
        <v>0</v>
      </c>
      <c r="Q37" s="40">
        <f t="shared" si="30"/>
        <v>0</v>
      </c>
      <c r="R37" s="40">
        <f t="shared" si="30"/>
        <v>0</v>
      </c>
      <c r="S37" s="40">
        <f t="shared" si="30"/>
        <v>0</v>
      </c>
      <c r="T37" s="40">
        <f t="shared" si="30"/>
        <v>0</v>
      </c>
      <c r="U37" s="40">
        <f t="shared" si="30"/>
        <v>0</v>
      </c>
      <c r="V37" s="40">
        <f t="shared" si="30"/>
        <v>1</v>
      </c>
      <c r="W37" s="40">
        <f t="shared" si="30"/>
        <v>1</v>
      </c>
      <c r="X37" s="40">
        <f t="shared" si="30"/>
        <v>1</v>
      </c>
      <c r="Y37" s="40">
        <f t="shared" si="30"/>
        <v>1</v>
      </c>
      <c r="Z37" s="40">
        <f t="shared" si="30"/>
        <v>1</v>
      </c>
      <c r="AA37" s="40">
        <f t="shared" si="30"/>
        <v>1</v>
      </c>
      <c r="AB37" s="40">
        <f t="shared" si="30"/>
        <v>1</v>
      </c>
      <c r="AC37" s="40">
        <f t="shared" si="30"/>
        <v>1</v>
      </c>
      <c r="AD37" s="40">
        <f t="shared" si="30"/>
        <v>1</v>
      </c>
      <c r="AE37" s="40">
        <f t="shared" si="30"/>
        <v>1</v>
      </c>
      <c r="AF37" s="40">
        <f t="shared" si="30"/>
        <v>1</v>
      </c>
      <c r="AG37" s="40">
        <f t="shared" si="30"/>
        <v>1</v>
      </c>
    </row>
    <row r="38" spans="2:33" ht="42" customHeight="1">
      <c r="B38" s="45" t="s">
        <v>111</v>
      </c>
      <c r="C38" s="40">
        <f t="shared" si="27"/>
        <v>1</v>
      </c>
      <c r="D38" s="40">
        <f t="shared" si="27"/>
        <v>1</v>
      </c>
      <c r="E38" s="40">
        <f t="shared" si="27"/>
        <v>1</v>
      </c>
      <c r="F38" s="40">
        <f t="shared" si="27"/>
        <v>1</v>
      </c>
      <c r="G38" s="40">
        <f t="shared" si="27"/>
        <v>1</v>
      </c>
      <c r="H38" s="40">
        <f t="shared" si="27"/>
        <v>1</v>
      </c>
      <c r="I38" s="40">
        <f t="shared" si="27"/>
        <v>0</v>
      </c>
      <c r="J38" s="40" t="e">
        <f>IF(#REF!=1,1,0)</f>
        <v>#REF!</v>
      </c>
      <c r="K38" s="40">
        <f t="shared" si="27"/>
        <v>0</v>
      </c>
      <c r="L38" s="40">
        <f t="shared" si="27"/>
        <v>0</v>
      </c>
      <c r="M38" s="40">
        <f t="shared" si="27"/>
        <v>0</v>
      </c>
      <c r="N38" s="40">
        <f>IF(J15=1,1,0)</f>
        <v>0</v>
      </c>
      <c r="O38" s="40">
        <f t="shared" ref="O38:AG38" si="31">IF(O15=1,1,0)</f>
        <v>0</v>
      </c>
      <c r="P38" s="40">
        <f t="shared" si="31"/>
        <v>0</v>
      </c>
      <c r="Q38" s="40">
        <f t="shared" si="31"/>
        <v>1</v>
      </c>
      <c r="R38" s="40">
        <f t="shared" si="31"/>
        <v>1</v>
      </c>
      <c r="S38" s="40">
        <f t="shared" si="31"/>
        <v>1</v>
      </c>
      <c r="T38" s="40">
        <f t="shared" si="31"/>
        <v>1</v>
      </c>
      <c r="U38" s="40">
        <f t="shared" si="31"/>
        <v>1</v>
      </c>
      <c r="V38" s="40">
        <f t="shared" si="31"/>
        <v>1</v>
      </c>
      <c r="W38" s="40">
        <f t="shared" si="31"/>
        <v>0</v>
      </c>
      <c r="X38" s="40">
        <f t="shared" si="31"/>
        <v>0</v>
      </c>
      <c r="Y38" s="40">
        <f t="shared" si="31"/>
        <v>0</v>
      </c>
      <c r="Z38" s="40">
        <f t="shared" si="31"/>
        <v>0</v>
      </c>
      <c r="AA38" s="40">
        <f t="shared" si="31"/>
        <v>0</v>
      </c>
      <c r="AB38" s="40">
        <f t="shared" si="31"/>
        <v>0</v>
      </c>
      <c r="AC38" s="40">
        <f t="shared" si="31"/>
        <v>0</v>
      </c>
      <c r="AD38" s="40">
        <f t="shared" si="31"/>
        <v>0</v>
      </c>
      <c r="AE38" s="40">
        <f t="shared" si="31"/>
        <v>1</v>
      </c>
      <c r="AF38" s="40">
        <f t="shared" si="31"/>
        <v>1</v>
      </c>
      <c r="AG38" s="40">
        <f t="shared" si="31"/>
        <v>1</v>
      </c>
    </row>
  </sheetData>
  <mergeCells count="38">
    <mergeCell ref="AD4:AF4"/>
    <mergeCell ref="AE9:AF10"/>
    <mergeCell ref="Z15:AD15"/>
    <mergeCell ref="C5:E5"/>
    <mergeCell ref="AD6:AF6"/>
    <mergeCell ref="C14:E14"/>
    <mergeCell ref="F9:I9"/>
    <mergeCell ref="I10:L10"/>
    <mergeCell ref="AA6:AC6"/>
    <mergeCell ref="W6:Y6"/>
    <mergeCell ref="X7:AB7"/>
    <mergeCell ref="AA8:AC8"/>
    <mergeCell ref="J9:L9"/>
    <mergeCell ref="Y9:AA10"/>
    <mergeCell ref="S9:U9"/>
    <mergeCell ref="J15:P15"/>
    <mergeCell ref="W3:Y3"/>
    <mergeCell ref="C7:E7"/>
    <mergeCell ref="W15:Y15"/>
    <mergeCell ref="X8:Z8"/>
    <mergeCell ref="G3:J3"/>
    <mergeCell ref="E10:H10"/>
    <mergeCell ref="O8:R8"/>
    <mergeCell ref="R11:AE11"/>
    <mergeCell ref="D4:G4"/>
    <mergeCell ref="J6:M6"/>
    <mergeCell ref="J7:O7"/>
    <mergeCell ref="AD5:AF5"/>
    <mergeCell ref="M11:Q11"/>
    <mergeCell ref="F5:H5"/>
    <mergeCell ref="R13:V13"/>
    <mergeCell ref="J12:L12"/>
    <mergeCell ref="E11:G11"/>
    <mergeCell ref="D3:F3"/>
    <mergeCell ref="C6:E6"/>
    <mergeCell ref="Q4:T4"/>
    <mergeCell ref="P5:V5"/>
    <mergeCell ref="L3:P4"/>
  </mergeCells>
  <conditionalFormatting sqref="C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54D0-8120-403E-84B7-3EEBC8883AAD}">
  <sheetPr>
    <tabColor theme="4" tint="0.59999389629810485"/>
  </sheetPr>
  <dimension ref="A1:AF38"/>
  <sheetViews>
    <sheetView zoomScale="40" zoomScaleNormal="40" workbookViewId="0">
      <pane xSplit="2" ySplit="2" topLeftCell="I3" activePane="bottomRight" state="frozen"/>
      <selection pane="bottomRight" activeCell="AI8" sqref="AI8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16384" width="8.7109375" style="26"/>
  </cols>
  <sheetData>
    <row r="1" spans="1:32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</row>
    <row r="2" spans="1:32" ht="27.75" customHeight="1">
      <c r="A2" s="27"/>
      <c r="B2" s="27"/>
      <c r="C2" s="28" t="s">
        <v>4</v>
      </c>
      <c r="D2" s="28" t="s">
        <v>5</v>
      </c>
      <c r="E2" s="29" t="s">
        <v>6</v>
      </c>
      <c r="F2" s="28" t="s">
        <v>7</v>
      </c>
      <c r="G2" s="28" t="s">
        <v>8</v>
      </c>
      <c r="H2" s="30" t="s">
        <v>2</v>
      </c>
      <c r="I2" s="31" t="s">
        <v>3</v>
      </c>
      <c r="J2" s="28" t="s">
        <v>4</v>
      </c>
      <c r="K2" s="28" t="s">
        <v>5</v>
      </c>
      <c r="L2" s="29" t="s">
        <v>6</v>
      </c>
      <c r="M2" s="28" t="s">
        <v>7</v>
      </c>
      <c r="N2" s="28" t="s">
        <v>8</v>
      </c>
      <c r="O2" s="30" t="s">
        <v>2</v>
      </c>
      <c r="P2" s="31" t="s">
        <v>3</v>
      </c>
      <c r="Q2" s="28" t="s">
        <v>4</v>
      </c>
      <c r="R2" s="28" t="s">
        <v>5</v>
      </c>
      <c r="S2" s="29" t="s">
        <v>6</v>
      </c>
      <c r="T2" s="28" t="s">
        <v>7</v>
      </c>
      <c r="U2" s="28" t="s">
        <v>8</v>
      </c>
      <c r="V2" s="30" t="s">
        <v>2</v>
      </c>
      <c r="W2" s="31" t="s">
        <v>3</v>
      </c>
      <c r="X2" s="28" t="s">
        <v>4</v>
      </c>
      <c r="Y2" s="28" t="s">
        <v>5</v>
      </c>
      <c r="Z2" s="29" t="s">
        <v>6</v>
      </c>
      <c r="AA2" s="28" t="s">
        <v>7</v>
      </c>
      <c r="AB2" s="28" t="s">
        <v>8</v>
      </c>
      <c r="AC2" s="30" t="s">
        <v>2</v>
      </c>
      <c r="AD2" s="31" t="s">
        <v>3</v>
      </c>
      <c r="AE2" s="28" t="s">
        <v>4</v>
      </c>
      <c r="AF2" s="28" t="s">
        <v>5</v>
      </c>
    </row>
    <row r="3" spans="1:32" ht="85.5" customHeight="1">
      <c r="A3" s="32">
        <v>1</v>
      </c>
      <c r="B3" s="33" t="s">
        <v>9</v>
      </c>
      <c r="C3" s="23">
        <v>1</v>
      </c>
      <c r="D3" s="23">
        <v>1</v>
      </c>
      <c r="E3" s="254" t="s">
        <v>614</v>
      </c>
      <c r="F3" s="255"/>
      <c r="G3" s="298"/>
      <c r="H3" s="385" t="s">
        <v>615</v>
      </c>
      <c r="I3" s="283"/>
      <c r="J3" s="283"/>
      <c r="K3" s="283"/>
      <c r="L3" s="287"/>
      <c r="M3" s="23">
        <v>1</v>
      </c>
      <c r="N3" s="23">
        <v>1</v>
      </c>
      <c r="O3" s="23">
        <v>1</v>
      </c>
      <c r="P3" s="23">
        <v>1</v>
      </c>
      <c r="Q3" s="385" t="s">
        <v>616</v>
      </c>
      <c r="R3" s="283"/>
      <c r="S3" s="283"/>
      <c r="T3" s="287"/>
      <c r="U3" s="23">
        <v>1</v>
      </c>
      <c r="V3" s="23">
        <v>1</v>
      </c>
      <c r="W3" s="23">
        <v>1</v>
      </c>
      <c r="X3" s="23">
        <v>1</v>
      </c>
      <c r="Y3" s="23">
        <v>1</v>
      </c>
      <c r="Z3" s="23">
        <v>1</v>
      </c>
      <c r="AA3" s="23">
        <v>1</v>
      </c>
      <c r="AB3" s="23">
        <v>1</v>
      </c>
      <c r="AC3" s="634" t="s">
        <v>617</v>
      </c>
      <c r="AD3" s="232"/>
      <c r="AE3" s="232"/>
      <c r="AF3" s="233"/>
    </row>
    <row r="4" spans="1:32" ht="85.5" customHeight="1">
      <c r="A4" s="34">
        <v>2</v>
      </c>
      <c r="B4" s="33" t="s">
        <v>9</v>
      </c>
      <c r="C4" s="23">
        <v>1</v>
      </c>
      <c r="D4" s="23">
        <v>1</v>
      </c>
      <c r="E4" s="23">
        <v>1</v>
      </c>
      <c r="F4" s="23">
        <v>1</v>
      </c>
      <c r="G4" s="23">
        <v>1</v>
      </c>
      <c r="H4" s="23">
        <v>1</v>
      </c>
      <c r="I4" s="23">
        <v>1</v>
      </c>
      <c r="J4" s="546" t="s">
        <v>618</v>
      </c>
      <c r="K4" s="547"/>
      <c r="L4" s="548"/>
      <c r="M4" s="23">
        <v>1</v>
      </c>
      <c r="N4" s="23">
        <v>1</v>
      </c>
      <c r="O4" s="23">
        <v>1</v>
      </c>
      <c r="P4" s="23">
        <v>1</v>
      </c>
      <c r="Q4" s="23">
        <v>1</v>
      </c>
      <c r="R4" s="23">
        <v>1</v>
      </c>
      <c r="S4" s="121"/>
      <c r="T4" s="121"/>
      <c r="U4" s="121"/>
      <c r="V4" s="121"/>
      <c r="W4" s="121"/>
      <c r="X4" s="23">
        <v>1</v>
      </c>
      <c r="Y4" s="23">
        <v>1</v>
      </c>
      <c r="Z4" s="23">
        <v>1</v>
      </c>
      <c r="AA4" s="23">
        <v>1</v>
      </c>
      <c r="AB4" s="23">
        <v>1</v>
      </c>
      <c r="AC4" s="635"/>
      <c r="AD4" s="283"/>
      <c r="AE4" s="283"/>
      <c r="AF4" s="287"/>
    </row>
    <row r="5" spans="1:32" ht="108" customHeight="1">
      <c r="A5" s="34">
        <v>3</v>
      </c>
      <c r="B5" s="33" t="s">
        <v>29</v>
      </c>
      <c r="C5" s="617" t="s">
        <v>619</v>
      </c>
      <c r="D5" s="618"/>
      <c r="E5" s="618"/>
      <c r="F5" s="618"/>
      <c r="G5" s="618"/>
      <c r="H5" s="618"/>
      <c r="I5" s="619"/>
      <c r="J5" s="23">
        <v>1</v>
      </c>
      <c r="K5" s="215" t="s">
        <v>620</v>
      </c>
      <c r="L5" s="279"/>
      <c r="M5" s="225"/>
      <c r="N5" s="23">
        <v>1</v>
      </c>
      <c r="O5" s="213" t="s">
        <v>621</v>
      </c>
      <c r="P5" s="214"/>
      <c r="Q5" s="227"/>
      <c r="R5" s="23">
        <v>1</v>
      </c>
      <c r="S5" s="23">
        <v>1</v>
      </c>
      <c r="T5" s="215" t="s">
        <v>622</v>
      </c>
      <c r="U5" s="279"/>
      <c r="V5" s="225"/>
      <c r="W5" s="546" t="s">
        <v>623</v>
      </c>
      <c r="X5" s="547"/>
      <c r="Y5" s="547"/>
      <c r="Z5" s="632"/>
      <c r="AA5" s="46">
        <v>1</v>
      </c>
      <c r="AB5" s="46">
        <v>1</v>
      </c>
      <c r="AC5" s="23">
        <v>1</v>
      </c>
      <c r="AD5" s="23">
        <v>1</v>
      </c>
      <c r="AE5" s="23">
        <v>1</v>
      </c>
      <c r="AF5" s="192" t="s">
        <v>624</v>
      </c>
    </row>
    <row r="6" spans="1:32" ht="108" customHeight="1">
      <c r="A6" s="34">
        <v>4</v>
      </c>
      <c r="B6" s="33" t="s">
        <v>37</v>
      </c>
      <c r="C6" s="23">
        <v>1</v>
      </c>
      <c r="D6" s="215" t="s">
        <v>625</v>
      </c>
      <c r="E6" s="279"/>
      <c r="F6" s="225"/>
      <c r="G6" s="23">
        <v>1</v>
      </c>
      <c r="H6" s="23">
        <v>1</v>
      </c>
      <c r="I6" s="23">
        <v>1</v>
      </c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15" t="s">
        <v>626</v>
      </c>
      <c r="P6" s="279"/>
      <c r="Q6" s="279"/>
      <c r="R6" s="279"/>
      <c r="S6" s="279"/>
      <c r="T6" s="279"/>
      <c r="U6" s="279"/>
      <c r="V6" s="225"/>
      <c r="W6" s="617" t="s">
        <v>627</v>
      </c>
      <c r="X6" s="214"/>
      <c r="Y6" s="633"/>
      <c r="Z6" s="84"/>
      <c r="AA6" s="84"/>
      <c r="AB6" s="84"/>
      <c r="AC6" s="108">
        <v>1</v>
      </c>
      <c r="AD6" s="23">
        <v>1</v>
      </c>
      <c r="AE6" s="23">
        <v>1</v>
      </c>
      <c r="AF6" s="23">
        <v>1</v>
      </c>
    </row>
    <row r="7" spans="1:32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362" t="s">
        <v>628</v>
      </c>
      <c r="M7" s="362"/>
      <c r="N7" s="362"/>
      <c r="O7" s="362"/>
      <c r="P7" s="362"/>
      <c r="Q7" s="362"/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3">
        <v>1</v>
      </c>
      <c r="Z7" s="47">
        <v>1</v>
      </c>
      <c r="AA7" s="47">
        <v>1</v>
      </c>
      <c r="AB7" s="47">
        <v>1</v>
      </c>
      <c r="AC7" s="23">
        <v>1</v>
      </c>
      <c r="AD7" s="23">
        <v>1</v>
      </c>
      <c r="AE7" s="23">
        <v>1</v>
      </c>
      <c r="AF7" s="23">
        <v>1</v>
      </c>
    </row>
    <row r="8" spans="1:32" ht="103.35" customHeight="1">
      <c r="A8" s="34">
        <v>6</v>
      </c>
      <c r="B8" s="33" t="s">
        <v>9</v>
      </c>
      <c r="C8" s="617" t="s">
        <v>629</v>
      </c>
      <c r="D8" s="618"/>
      <c r="E8" s="618"/>
      <c r="F8" s="618"/>
      <c r="G8" s="619"/>
      <c r="H8" s="546" t="s">
        <v>630</v>
      </c>
      <c r="I8" s="547"/>
      <c r="J8" s="548"/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  <c r="R8" s="218" t="s">
        <v>631</v>
      </c>
      <c r="S8" s="216"/>
      <c r="T8" s="217"/>
      <c r="U8" s="46">
        <v>1</v>
      </c>
      <c r="V8" s="23">
        <v>1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3">
        <v>1</v>
      </c>
      <c r="AC8" s="23">
        <v>1</v>
      </c>
      <c r="AD8" s="23">
        <v>1</v>
      </c>
      <c r="AE8" s="23">
        <v>1</v>
      </c>
      <c r="AF8" s="23">
        <v>1</v>
      </c>
    </row>
    <row r="9" spans="1:32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65">
        <v>1</v>
      </c>
      <c r="R9" s="121"/>
      <c r="S9" s="91"/>
      <c r="T9" s="91"/>
      <c r="U9" s="91"/>
      <c r="V9" s="226" t="s">
        <v>632</v>
      </c>
      <c r="W9" s="214"/>
      <c r="X9" s="214"/>
      <c r="Y9" s="227"/>
      <c r="Z9" s="218" t="s">
        <v>633</v>
      </c>
      <c r="AA9" s="216"/>
      <c r="AB9" s="217"/>
      <c r="AC9" s="23">
        <v>1</v>
      </c>
      <c r="AD9" s="23">
        <v>1</v>
      </c>
      <c r="AE9" s="23">
        <v>1</v>
      </c>
      <c r="AF9" s="23">
        <v>1</v>
      </c>
    </row>
    <row r="10" spans="1:32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1</v>
      </c>
      <c r="O10" s="46">
        <v>1</v>
      </c>
      <c r="P10" s="46">
        <v>1</v>
      </c>
      <c r="Q10" s="46">
        <v>1</v>
      </c>
      <c r="R10" s="47">
        <v>1</v>
      </c>
      <c r="S10" s="47">
        <v>1</v>
      </c>
      <c r="T10" s="47">
        <v>1</v>
      </c>
      <c r="U10" s="47">
        <v>1</v>
      </c>
      <c r="V10" s="23">
        <v>1</v>
      </c>
      <c r="W10" s="23">
        <v>1</v>
      </c>
      <c r="X10" s="23">
        <v>1</v>
      </c>
      <c r="Y10" s="23">
        <v>1</v>
      </c>
      <c r="Z10" s="254"/>
      <c r="AA10" s="255"/>
      <c r="AB10" s="298"/>
      <c r="AC10" s="23">
        <v>1</v>
      </c>
      <c r="AD10" s="23">
        <v>1</v>
      </c>
      <c r="AE10" s="23">
        <v>1</v>
      </c>
      <c r="AF10" s="23">
        <v>1</v>
      </c>
    </row>
    <row r="11" spans="1:32" ht="85.5" customHeight="1">
      <c r="A11" s="34">
        <v>9</v>
      </c>
      <c r="B11" s="35" t="s">
        <v>29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13" t="s">
        <v>634</v>
      </c>
      <c r="J11" s="214"/>
      <c r="K11" s="214"/>
      <c r="L11" s="227"/>
      <c r="M11" s="210" t="s">
        <v>635</v>
      </c>
      <c r="N11" s="211"/>
      <c r="O11" s="211"/>
      <c r="P11" s="212"/>
      <c r="Q11" s="91"/>
      <c r="R11" s="108">
        <v>1</v>
      </c>
      <c r="S11" s="23">
        <v>1</v>
      </c>
      <c r="T11" s="23">
        <v>1</v>
      </c>
      <c r="U11" s="23">
        <v>1</v>
      </c>
      <c r="V11" s="23">
        <v>1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B11" s="215" t="s">
        <v>636</v>
      </c>
      <c r="AC11" s="279"/>
      <c r="AD11" s="225"/>
      <c r="AE11" s="23">
        <v>1</v>
      </c>
      <c r="AF11" s="198" t="s">
        <v>637</v>
      </c>
    </row>
    <row r="12" spans="1:32" ht="85.5" customHeight="1">
      <c r="A12" s="34">
        <v>10</v>
      </c>
      <c r="B12" s="33" t="s">
        <v>37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47">
        <v>1</v>
      </c>
      <c r="P12" s="47">
        <v>1</v>
      </c>
      <c r="Q12" s="47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</row>
    <row r="13" spans="1:32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  <c r="AE13" s="23">
        <v>1</v>
      </c>
      <c r="AF13" s="23">
        <v>1</v>
      </c>
    </row>
    <row r="14" spans="1:32" ht="85.5" customHeight="1">
      <c r="A14" s="34">
        <v>12</v>
      </c>
      <c r="B14" s="33" t="s">
        <v>9</v>
      </c>
      <c r="C14" s="23">
        <v>1</v>
      </c>
      <c r="D14" s="23">
        <v>1</v>
      </c>
      <c r="E14" s="215" t="s">
        <v>638</v>
      </c>
      <c r="F14" s="279"/>
      <c r="G14" s="279"/>
      <c r="H14" s="279"/>
      <c r="I14" s="279"/>
      <c r="J14" s="216"/>
      <c r="K14" s="216"/>
      <c r="L14" s="216"/>
      <c r="M14" s="216"/>
      <c r="N14" s="216"/>
      <c r="O14" s="217"/>
      <c r="P14" s="23">
        <v>1</v>
      </c>
      <c r="Q14" s="23">
        <v>1</v>
      </c>
      <c r="R14" s="23">
        <v>1</v>
      </c>
      <c r="S14" s="46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</row>
    <row r="15" spans="1:32" ht="85.5" customHeight="1">
      <c r="A15" s="34" t="s">
        <v>111</v>
      </c>
      <c r="B15" s="33" t="s">
        <v>112</v>
      </c>
      <c r="C15" s="23">
        <v>1</v>
      </c>
      <c r="D15" s="23">
        <v>1</v>
      </c>
      <c r="E15" s="617" t="s">
        <v>639</v>
      </c>
      <c r="F15" s="214"/>
      <c r="G15" s="214"/>
      <c r="H15" s="214"/>
      <c r="I15" s="633"/>
      <c r="J15" s="84"/>
      <c r="K15" s="84"/>
      <c r="L15" s="84"/>
      <c r="M15" s="84"/>
      <c r="N15" s="84"/>
      <c r="O15" s="84"/>
      <c r="P15" s="108">
        <v>1</v>
      </c>
      <c r="Q15" s="23">
        <v>1</v>
      </c>
      <c r="R15" s="65">
        <v>1</v>
      </c>
      <c r="S15" s="109">
        <v>1</v>
      </c>
      <c r="T15" s="108">
        <v>1</v>
      </c>
      <c r="U15" s="23">
        <v>1</v>
      </c>
      <c r="V15" s="23">
        <v>1</v>
      </c>
      <c r="W15" s="215" t="s">
        <v>640</v>
      </c>
      <c r="X15" s="279"/>
      <c r="Y15" s="225"/>
      <c r="Z15" s="23">
        <v>1</v>
      </c>
      <c r="AA15" s="23">
        <v>1</v>
      </c>
      <c r="AB15" s="23">
        <v>1</v>
      </c>
      <c r="AC15" s="23">
        <v>1</v>
      </c>
      <c r="AD15" s="215" t="s">
        <v>641</v>
      </c>
      <c r="AE15" s="279"/>
      <c r="AF15" s="225"/>
    </row>
    <row r="16" spans="1:32" ht="84.95" customHeight="1">
      <c r="A16" s="36"/>
      <c r="B16" s="37"/>
      <c r="C16" s="38">
        <f>(30*13-SUM(C17:AF20))/(30*13)</f>
        <v>0.35384615384615387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85.5" customHeight="1">
      <c r="A17" s="2"/>
      <c r="B17" s="3" t="s">
        <v>121</v>
      </c>
      <c r="C17" s="2">
        <f t="shared" ref="C17:AF17" si="0">C28+C34</f>
        <v>1</v>
      </c>
      <c r="D17" s="2">
        <f t="shared" si="0"/>
        <v>1</v>
      </c>
      <c r="E17" s="4">
        <f t="shared" si="0"/>
        <v>1</v>
      </c>
      <c r="F17" s="4">
        <f t="shared" si="0"/>
        <v>1</v>
      </c>
      <c r="G17" s="4">
        <f t="shared" si="0"/>
        <v>1</v>
      </c>
      <c r="H17" s="4">
        <f t="shared" si="0"/>
        <v>1</v>
      </c>
      <c r="I17" s="4">
        <f t="shared" si="0"/>
        <v>0</v>
      </c>
      <c r="J17" s="4">
        <f t="shared" si="0"/>
        <v>1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0"/>
        <v>1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2</v>
      </c>
      <c r="S17" s="4">
        <f t="shared" si="0"/>
        <v>2</v>
      </c>
      <c r="T17" s="4">
        <f t="shared" si="0"/>
        <v>1</v>
      </c>
      <c r="U17" s="4">
        <f t="shared" si="0"/>
        <v>1</v>
      </c>
      <c r="V17" s="4">
        <f t="shared" si="0"/>
        <v>1</v>
      </c>
      <c r="W17" s="4">
        <f t="shared" si="0"/>
        <v>1</v>
      </c>
      <c r="X17" s="4">
        <f t="shared" si="0"/>
        <v>1</v>
      </c>
      <c r="Y17" s="4">
        <f t="shared" si="0"/>
        <v>1</v>
      </c>
      <c r="Z17" s="4">
        <f t="shared" si="0"/>
        <v>1</v>
      </c>
      <c r="AA17" s="4">
        <f t="shared" si="0"/>
        <v>2</v>
      </c>
      <c r="AB17" s="4">
        <f t="shared" si="0"/>
        <v>1</v>
      </c>
      <c r="AC17" s="4">
        <f t="shared" si="0"/>
        <v>1</v>
      </c>
      <c r="AD17" s="4">
        <f t="shared" si="0"/>
        <v>1</v>
      </c>
      <c r="AE17" s="4">
        <f t="shared" si="0"/>
        <v>2</v>
      </c>
      <c r="AF17" s="4">
        <f t="shared" si="0"/>
        <v>0</v>
      </c>
    </row>
    <row r="18" spans="1:32" ht="85.5" customHeight="1">
      <c r="A18" s="2"/>
      <c r="B18" s="3" t="s">
        <v>122</v>
      </c>
      <c r="C18" s="2">
        <f t="shared" ref="C18:AF18" si="1">C26+C27+C31+C32+C33+C37</f>
        <v>5</v>
      </c>
      <c r="D18" s="2">
        <f t="shared" si="1"/>
        <v>5</v>
      </c>
      <c r="E18" s="4">
        <f t="shared" si="1"/>
        <v>3</v>
      </c>
      <c r="F18" s="4">
        <f t="shared" si="1"/>
        <v>3</v>
      </c>
      <c r="G18" s="4">
        <f t="shared" si="1"/>
        <v>3</v>
      </c>
      <c r="H18" s="4">
        <f t="shared" si="1"/>
        <v>3</v>
      </c>
      <c r="I18" s="4">
        <f t="shared" si="1"/>
        <v>3</v>
      </c>
      <c r="J18" s="4">
        <f t="shared" si="1"/>
        <v>2</v>
      </c>
      <c r="K18" s="4">
        <f t="shared" si="1"/>
        <v>3</v>
      </c>
      <c r="L18" s="4">
        <f t="shared" si="1"/>
        <v>3</v>
      </c>
      <c r="M18" s="4">
        <f t="shared" si="1"/>
        <v>5</v>
      </c>
      <c r="N18" s="4">
        <f t="shared" si="1"/>
        <v>5</v>
      </c>
      <c r="O18" s="4">
        <f t="shared" si="1"/>
        <v>5</v>
      </c>
      <c r="P18" s="4">
        <f t="shared" si="1"/>
        <v>6</v>
      </c>
      <c r="Q18" s="4">
        <f t="shared" si="1"/>
        <v>5</v>
      </c>
      <c r="R18" s="4">
        <f t="shared" si="1"/>
        <v>3</v>
      </c>
      <c r="S18" s="4">
        <f t="shared" si="1"/>
        <v>2</v>
      </c>
      <c r="T18" s="4">
        <f t="shared" si="1"/>
        <v>2</v>
      </c>
      <c r="U18" s="4">
        <f t="shared" si="1"/>
        <v>4</v>
      </c>
      <c r="V18" s="4">
        <f t="shared" si="1"/>
        <v>4</v>
      </c>
      <c r="W18" s="4">
        <f t="shared" si="1"/>
        <v>4</v>
      </c>
      <c r="X18" s="4">
        <f t="shared" si="1"/>
        <v>5</v>
      </c>
      <c r="Y18" s="4">
        <f t="shared" si="1"/>
        <v>5</v>
      </c>
      <c r="Z18" s="4">
        <f t="shared" si="1"/>
        <v>4</v>
      </c>
      <c r="AA18" s="4">
        <f t="shared" si="1"/>
        <v>4</v>
      </c>
      <c r="AB18" s="4">
        <f t="shared" si="1"/>
        <v>4</v>
      </c>
      <c r="AC18" s="4">
        <f t="shared" si="1"/>
        <v>4</v>
      </c>
      <c r="AD18" s="4">
        <f t="shared" si="1"/>
        <v>4</v>
      </c>
      <c r="AE18" s="4">
        <f t="shared" si="1"/>
        <v>4</v>
      </c>
      <c r="AF18" s="4">
        <f t="shared" si="1"/>
        <v>4</v>
      </c>
    </row>
    <row r="19" spans="1:32" ht="85.5" customHeight="1">
      <c r="A19" s="2"/>
      <c r="B19" s="3" t="s">
        <v>123</v>
      </c>
      <c r="C19" s="2">
        <f t="shared" ref="C19:AF19" si="2">C29+C30+C35+C36</f>
        <v>4</v>
      </c>
      <c r="D19" s="2">
        <f t="shared" si="2"/>
        <v>3</v>
      </c>
      <c r="E19" s="4">
        <f t="shared" si="2"/>
        <v>3</v>
      </c>
      <c r="F19" s="4">
        <f t="shared" si="2"/>
        <v>3</v>
      </c>
      <c r="G19" s="4">
        <f t="shared" si="2"/>
        <v>4</v>
      </c>
      <c r="H19" s="4">
        <f t="shared" si="2"/>
        <v>4</v>
      </c>
      <c r="I19" s="4">
        <f t="shared" si="2"/>
        <v>4</v>
      </c>
      <c r="J19" s="4">
        <f t="shared" si="2"/>
        <v>4</v>
      </c>
      <c r="K19" s="4">
        <f t="shared" si="2"/>
        <v>4</v>
      </c>
      <c r="L19" s="4">
        <f t="shared" si="2"/>
        <v>3</v>
      </c>
      <c r="M19" s="4">
        <f t="shared" si="2"/>
        <v>3</v>
      </c>
      <c r="N19" s="4">
        <f t="shared" si="2"/>
        <v>3</v>
      </c>
      <c r="O19" s="4">
        <f t="shared" si="2"/>
        <v>2</v>
      </c>
      <c r="P19" s="4">
        <f t="shared" si="2"/>
        <v>2</v>
      </c>
      <c r="Q19" s="4">
        <f t="shared" si="2"/>
        <v>2</v>
      </c>
      <c r="R19" s="4">
        <f t="shared" si="2"/>
        <v>3</v>
      </c>
      <c r="S19" s="4">
        <f t="shared" si="2"/>
        <v>3</v>
      </c>
      <c r="T19" s="4">
        <f t="shared" si="2"/>
        <v>3</v>
      </c>
      <c r="U19" s="4">
        <f t="shared" si="2"/>
        <v>3</v>
      </c>
      <c r="V19" s="4">
        <f t="shared" si="2"/>
        <v>3</v>
      </c>
      <c r="W19" s="4">
        <f t="shared" si="2"/>
        <v>3</v>
      </c>
      <c r="X19" s="4">
        <f t="shared" si="2"/>
        <v>3</v>
      </c>
      <c r="Y19" s="4">
        <f t="shared" si="2"/>
        <v>3</v>
      </c>
      <c r="Z19" s="4">
        <f t="shared" si="2"/>
        <v>3</v>
      </c>
      <c r="AA19" s="4">
        <f t="shared" si="2"/>
        <v>3</v>
      </c>
      <c r="AB19" s="4">
        <f t="shared" si="2"/>
        <v>3</v>
      </c>
      <c r="AC19" s="4">
        <f t="shared" si="2"/>
        <v>4</v>
      </c>
      <c r="AD19" s="4">
        <f t="shared" si="2"/>
        <v>4</v>
      </c>
      <c r="AE19" s="4">
        <f t="shared" si="2"/>
        <v>4</v>
      </c>
      <c r="AF19" s="4">
        <f t="shared" si="2"/>
        <v>4</v>
      </c>
    </row>
    <row r="20" spans="1:32" ht="85.5" customHeight="1">
      <c r="A20" s="2"/>
      <c r="B20" s="3" t="s">
        <v>124</v>
      </c>
      <c r="C20" s="2">
        <f t="shared" ref="C20:AF20" si="3">C38</f>
        <v>1</v>
      </c>
      <c r="D20" s="2">
        <f t="shared" si="3"/>
        <v>1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  <c r="P20" s="4">
        <f t="shared" si="3"/>
        <v>1</v>
      </c>
      <c r="Q20" s="4">
        <f t="shared" si="3"/>
        <v>1</v>
      </c>
      <c r="R20" s="4">
        <f t="shared" si="3"/>
        <v>1</v>
      </c>
      <c r="S20" s="4">
        <f t="shared" si="3"/>
        <v>1</v>
      </c>
      <c r="T20" s="4">
        <f t="shared" si="3"/>
        <v>1</v>
      </c>
      <c r="U20" s="4">
        <f t="shared" si="3"/>
        <v>1</v>
      </c>
      <c r="V20" s="4">
        <f t="shared" si="3"/>
        <v>1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1</v>
      </c>
      <c r="AA20" s="4">
        <f t="shared" si="3"/>
        <v>1</v>
      </c>
      <c r="AB20" s="4">
        <f t="shared" si="3"/>
        <v>1</v>
      </c>
      <c r="AC20" s="4">
        <f t="shared" si="3"/>
        <v>1</v>
      </c>
      <c r="AD20" s="4">
        <f t="shared" si="3"/>
        <v>0</v>
      </c>
      <c r="AE20" s="4">
        <f t="shared" si="3"/>
        <v>0</v>
      </c>
      <c r="AF20" s="4">
        <f t="shared" si="3"/>
        <v>0</v>
      </c>
    </row>
    <row r="21" spans="1:32" ht="85.5" customHeight="1">
      <c r="C21" s="41">
        <f t="shared" ref="C21:AF21" si="4">SUM(C17:C20)</f>
        <v>11</v>
      </c>
      <c r="D21" s="41">
        <f t="shared" si="4"/>
        <v>10</v>
      </c>
      <c r="E21" s="41">
        <f t="shared" si="4"/>
        <v>7</v>
      </c>
      <c r="F21" s="41">
        <f t="shared" si="4"/>
        <v>7</v>
      </c>
      <c r="G21" s="41">
        <f t="shared" si="4"/>
        <v>8</v>
      </c>
      <c r="H21" s="41">
        <f t="shared" si="4"/>
        <v>8</v>
      </c>
      <c r="I21" s="41">
        <f t="shared" si="4"/>
        <v>7</v>
      </c>
      <c r="J21" s="41">
        <f t="shared" si="4"/>
        <v>7</v>
      </c>
      <c r="K21" s="41">
        <f t="shared" si="4"/>
        <v>7</v>
      </c>
      <c r="L21" s="41">
        <f t="shared" si="4"/>
        <v>6</v>
      </c>
      <c r="M21" s="41">
        <f t="shared" si="4"/>
        <v>8</v>
      </c>
      <c r="N21" s="41">
        <f t="shared" si="4"/>
        <v>9</v>
      </c>
      <c r="O21" s="41">
        <f t="shared" si="4"/>
        <v>7</v>
      </c>
      <c r="P21" s="41">
        <f t="shared" si="4"/>
        <v>9</v>
      </c>
      <c r="Q21" s="41">
        <f t="shared" si="4"/>
        <v>8</v>
      </c>
      <c r="R21" s="41">
        <f t="shared" si="4"/>
        <v>9</v>
      </c>
      <c r="S21" s="41">
        <f t="shared" si="4"/>
        <v>8</v>
      </c>
      <c r="T21" s="41">
        <f t="shared" si="4"/>
        <v>7</v>
      </c>
      <c r="U21" s="41">
        <f t="shared" si="4"/>
        <v>9</v>
      </c>
      <c r="V21" s="41">
        <f t="shared" si="4"/>
        <v>9</v>
      </c>
      <c r="W21" s="41">
        <f t="shared" si="4"/>
        <v>8</v>
      </c>
      <c r="X21" s="41">
        <f t="shared" si="4"/>
        <v>9</v>
      </c>
      <c r="Y21" s="41">
        <f t="shared" si="4"/>
        <v>9</v>
      </c>
      <c r="Z21" s="41">
        <f t="shared" si="4"/>
        <v>9</v>
      </c>
      <c r="AA21" s="41">
        <f t="shared" si="4"/>
        <v>10</v>
      </c>
      <c r="AB21" s="41">
        <f t="shared" si="4"/>
        <v>9</v>
      </c>
      <c r="AC21" s="41">
        <f t="shared" si="4"/>
        <v>10</v>
      </c>
      <c r="AD21" s="41">
        <f t="shared" si="4"/>
        <v>9</v>
      </c>
      <c r="AE21" s="41">
        <f t="shared" si="4"/>
        <v>10</v>
      </c>
      <c r="AF21" s="41">
        <f t="shared" si="4"/>
        <v>8</v>
      </c>
    </row>
    <row r="22" spans="1:32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71.099999999999994" customHeight="1"/>
    <row r="24" spans="1:32" ht="61.35" customHeight="1"/>
    <row r="26" spans="1:32" ht="42" customHeight="1">
      <c r="B26" s="42">
        <v>1</v>
      </c>
      <c r="C26" s="40">
        <f t="shared" ref="C26:AB34" si="5">IF(C3=1,1,0)</f>
        <v>1</v>
      </c>
      <c r="D26" s="40">
        <f t="shared" si="5"/>
        <v>1</v>
      </c>
      <c r="E26" s="40">
        <f t="shared" si="5"/>
        <v>0</v>
      </c>
      <c r="F26" s="40">
        <f t="shared" si="5"/>
        <v>0</v>
      </c>
      <c r="G26" s="40">
        <f t="shared" si="5"/>
        <v>0</v>
      </c>
      <c r="H26" s="40">
        <f t="shared" si="5"/>
        <v>0</v>
      </c>
      <c r="I26" s="40">
        <f t="shared" si="5"/>
        <v>0</v>
      </c>
      <c r="J26" s="40">
        <f t="shared" si="5"/>
        <v>0</v>
      </c>
      <c r="K26" s="40">
        <f t="shared" si="5"/>
        <v>0</v>
      </c>
      <c r="L26" s="40">
        <f t="shared" si="5"/>
        <v>0</v>
      </c>
      <c r="M26" s="40">
        <f t="shared" si="5"/>
        <v>1</v>
      </c>
      <c r="N26" s="40">
        <f t="shared" si="5"/>
        <v>1</v>
      </c>
      <c r="O26" s="40">
        <f t="shared" si="5"/>
        <v>1</v>
      </c>
      <c r="P26" s="40">
        <f t="shared" si="5"/>
        <v>1</v>
      </c>
      <c r="Q26" s="40">
        <f t="shared" si="5"/>
        <v>0</v>
      </c>
      <c r="R26" s="40">
        <f t="shared" si="5"/>
        <v>0</v>
      </c>
      <c r="S26" s="40">
        <f t="shared" si="5"/>
        <v>0</v>
      </c>
      <c r="T26" s="40">
        <f t="shared" si="5"/>
        <v>0</v>
      </c>
      <c r="U26" s="40">
        <f t="shared" si="5"/>
        <v>1</v>
      </c>
      <c r="V26" s="40">
        <f t="shared" si="5"/>
        <v>1</v>
      </c>
      <c r="W26" s="40">
        <f t="shared" si="5"/>
        <v>1</v>
      </c>
      <c r="X26" s="40">
        <f t="shared" si="5"/>
        <v>1</v>
      </c>
      <c r="Y26" s="40">
        <f t="shared" si="5"/>
        <v>1</v>
      </c>
      <c r="Z26" s="40">
        <f t="shared" si="5"/>
        <v>1</v>
      </c>
      <c r="AA26" s="40">
        <f t="shared" si="5"/>
        <v>1</v>
      </c>
      <c r="AB26" s="40">
        <f t="shared" si="5"/>
        <v>1</v>
      </c>
      <c r="AC26" s="40">
        <f t="shared" ref="AC26:AF26" si="6">IF(AC3=1,1,0)</f>
        <v>0</v>
      </c>
      <c r="AD26" s="40">
        <f t="shared" si="6"/>
        <v>0</v>
      </c>
      <c r="AE26" s="40">
        <f t="shared" si="6"/>
        <v>0</v>
      </c>
      <c r="AF26" s="40">
        <f t="shared" si="6"/>
        <v>0</v>
      </c>
    </row>
    <row r="27" spans="1:32" ht="42" customHeight="1">
      <c r="B27" s="42">
        <v>2</v>
      </c>
      <c r="C27" s="40">
        <f t="shared" si="5"/>
        <v>1</v>
      </c>
      <c r="D27" s="40">
        <f t="shared" si="5"/>
        <v>1</v>
      </c>
      <c r="E27" s="40">
        <f t="shared" si="5"/>
        <v>1</v>
      </c>
      <c r="F27" s="40">
        <f t="shared" si="5"/>
        <v>1</v>
      </c>
      <c r="G27" s="40">
        <f t="shared" si="5"/>
        <v>1</v>
      </c>
      <c r="H27" s="40">
        <f t="shared" si="5"/>
        <v>1</v>
      </c>
      <c r="I27" s="40">
        <f t="shared" si="5"/>
        <v>1</v>
      </c>
      <c r="J27" s="40">
        <f t="shared" si="5"/>
        <v>0</v>
      </c>
      <c r="K27" s="40">
        <f t="shared" si="5"/>
        <v>0</v>
      </c>
      <c r="L27" s="40">
        <f t="shared" si="5"/>
        <v>0</v>
      </c>
      <c r="M27" s="40">
        <f t="shared" si="5"/>
        <v>1</v>
      </c>
      <c r="N27" s="40">
        <f t="shared" si="5"/>
        <v>1</v>
      </c>
      <c r="O27" s="40">
        <f t="shared" si="5"/>
        <v>1</v>
      </c>
      <c r="P27" s="40">
        <f t="shared" si="5"/>
        <v>1</v>
      </c>
      <c r="Q27" s="40">
        <f t="shared" si="5"/>
        <v>1</v>
      </c>
      <c r="R27" s="40">
        <f t="shared" si="5"/>
        <v>1</v>
      </c>
      <c r="S27" s="40">
        <f t="shared" si="5"/>
        <v>0</v>
      </c>
      <c r="T27" s="40">
        <f t="shared" si="5"/>
        <v>0</v>
      </c>
      <c r="U27" s="40">
        <f t="shared" si="5"/>
        <v>0</v>
      </c>
      <c r="V27" s="40">
        <f t="shared" si="5"/>
        <v>0</v>
      </c>
      <c r="W27" s="40">
        <f t="shared" si="5"/>
        <v>0</v>
      </c>
      <c r="X27" s="40">
        <f t="shared" si="5"/>
        <v>1</v>
      </c>
      <c r="Y27" s="40">
        <f t="shared" si="5"/>
        <v>1</v>
      </c>
      <c r="Z27" s="40">
        <f t="shared" si="5"/>
        <v>1</v>
      </c>
      <c r="AA27" s="40">
        <f t="shared" si="5"/>
        <v>1</v>
      </c>
      <c r="AB27" s="40">
        <f t="shared" si="5"/>
        <v>1</v>
      </c>
      <c r="AC27" s="40">
        <f t="shared" ref="AC27:AF27" si="7">IF(AC4=1,1,0)</f>
        <v>0</v>
      </c>
      <c r="AD27" s="40">
        <f t="shared" si="7"/>
        <v>0</v>
      </c>
      <c r="AE27" s="40">
        <f t="shared" si="7"/>
        <v>0</v>
      </c>
      <c r="AF27" s="40">
        <f t="shared" si="7"/>
        <v>0</v>
      </c>
    </row>
    <row r="28" spans="1:32" ht="42" customHeight="1">
      <c r="B28" s="43">
        <v>3</v>
      </c>
      <c r="C28" s="40">
        <f t="shared" si="5"/>
        <v>0</v>
      </c>
      <c r="D28" s="40">
        <f t="shared" si="5"/>
        <v>0</v>
      </c>
      <c r="E28" s="40">
        <f t="shared" si="5"/>
        <v>0</v>
      </c>
      <c r="F28" s="40">
        <f t="shared" si="5"/>
        <v>0</v>
      </c>
      <c r="G28" s="40">
        <f t="shared" si="5"/>
        <v>0</v>
      </c>
      <c r="H28" s="40">
        <f t="shared" si="5"/>
        <v>0</v>
      </c>
      <c r="I28" s="40">
        <f t="shared" si="5"/>
        <v>0</v>
      </c>
      <c r="J28" s="40">
        <f t="shared" si="5"/>
        <v>1</v>
      </c>
      <c r="K28" s="40">
        <f t="shared" si="5"/>
        <v>0</v>
      </c>
      <c r="L28" s="40">
        <f t="shared" si="5"/>
        <v>0</v>
      </c>
      <c r="M28" s="40">
        <f t="shared" si="5"/>
        <v>0</v>
      </c>
      <c r="N28" s="40">
        <f t="shared" si="5"/>
        <v>1</v>
      </c>
      <c r="O28" s="40">
        <f t="shared" si="5"/>
        <v>0</v>
      </c>
      <c r="P28" s="40">
        <f t="shared" si="5"/>
        <v>0</v>
      </c>
      <c r="Q28" s="40">
        <f t="shared" si="5"/>
        <v>0</v>
      </c>
      <c r="R28" s="40">
        <f t="shared" si="5"/>
        <v>1</v>
      </c>
      <c r="S28" s="40">
        <f t="shared" si="5"/>
        <v>1</v>
      </c>
      <c r="T28" s="40">
        <f t="shared" si="5"/>
        <v>0</v>
      </c>
      <c r="U28" s="40">
        <f t="shared" si="5"/>
        <v>0</v>
      </c>
      <c r="V28" s="40">
        <f t="shared" si="5"/>
        <v>0</v>
      </c>
      <c r="W28" s="40">
        <f t="shared" si="5"/>
        <v>0</v>
      </c>
      <c r="X28" s="40">
        <f t="shared" si="5"/>
        <v>0</v>
      </c>
      <c r="Y28" s="40">
        <f t="shared" si="5"/>
        <v>0</v>
      </c>
      <c r="Z28" s="40">
        <f t="shared" si="5"/>
        <v>0</v>
      </c>
      <c r="AA28" s="40">
        <f t="shared" si="5"/>
        <v>1</v>
      </c>
      <c r="AB28" s="40">
        <f t="shared" si="5"/>
        <v>1</v>
      </c>
      <c r="AC28" s="40">
        <f t="shared" ref="AC28:AF28" si="8">IF(AC5=1,1,0)</f>
        <v>1</v>
      </c>
      <c r="AD28" s="40">
        <f t="shared" si="8"/>
        <v>1</v>
      </c>
      <c r="AE28" s="40">
        <f t="shared" si="8"/>
        <v>1</v>
      </c>
      <c r="AF28" s="40">
        <f t="shared" si="8"/>
        <v>0</v>
      </c>
    </row>
    <row r="29" spans="1:32" ht="42" customHeight="1">
      <c r="B29" s="44">
        <v>4</v>
      </c>
      <c r="C29" s="40">
        <f t="shared" si="5"/>
        <v>1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1</v>
      </c>
      <c r="H29" s="40">
        <f t="shared" si="5"/>
        <v>1</v>
      </c>
      <c r="I29" s="40">
        <f t="shared" si="5"/>
        <v>1</v>
      </c>
      <c r="J29" s="40">
        <f t="shared" si="5"/>
        <v>1</v>
      </c>
      <c r="K29" s="40">
        <f t="shared" si="5"/>
        <v>1</v>
      </c>
      <c r="L29" s="40">
        <f t="shared" si="5"/>
        <v>1</v>
      </c>
      <c r="M29" s="40">
        <f t="shared" si="5"/>
        <v>1</v>
      </c>
      <c r="N29" s="40">
        <f t="shared" si="5"/>
        <v>1</v>
      </c>
      <c r="O29" s="40">
        <f t="shared" si="5"/>
        <v>0</v>
      </c>
      <c r="P29" s="40">
        <f t="shared" si="5"/>
        <v>0</v>
      </c>
      <c r="Q29" s="40">
        <f t="shared" si="5"/>
        <v>0</v>
      </c>
      <c r="R29" s="40">
        <f t="shared" si="5"/>
        <v>0</v>
      </c>
      <c r="S29" s="40">
        <f t="shared" si="5"/>
        <v>0</v>
      </c>
      <c r="T29" s="40">
        <f t="shared" si="5"/>
        <v>0</v>
      </c>
      <c r="U29" s="40">
        <f t="shared" si="5"/>
        <v>0</v>
      </c>
      <c r="V29" s="40">
        <f t="shared" si="5"/>
        <v>0</v>
      </c>
      <c r="W29" s="40">
        <f t="shared" si="5"/>
        <v>0</v>
      </c>
      <c r="X29" s="40">
        <f t="shared" si="5"/>
        <v>0</v>
      </c>
      <c r="Y29" s="40">
        <f t="shared" si="5"/>
        <v>0</v>
      </c>
      <c r="Z29" s="40">
        <f t="shared" si="5"/>
        <v>0</v>
      </c>
      <c r="AA29" s="40">
        <f t="shared" si="5"/>
        <v>0</v>
      </c>
      <c r="AB29" s="40">
        <f t="shared" si="5"/>
        <v>0</v>
      </c>
      <c r="AC29" s="40">
        <f t="shared" ref="AC29:AF29" si="9">IF(AC6=1,1,0)</f>
        <v>1</v>
      </c>
      <c r="AD29" s="40">
        <f t="shared" si="9"/>
        <v>1</v>
      </c>
      <c r="AE29" s="40">
        <f t="shared" si="9"/>
        <v>1</v>
      </c>
      <c r="AF29" s="40">
        <f t="shared" si="9"/>
        <v>1</v>
      </c>
    </row>
    <row r="30" spans="1:32" ht="42" customHeight="1">
      <c r="B30" s="44">
        <v>5</v>
      </c>
      <c r="C30" s="40">
        <f t="shared" si="5"/>
        <v>1</v>
      </c>
      <c r="D30" s="40">
        <f t="shared" si="5"/>
        <v>1</v>
      </c>
      <c r="E30" s="40">
        <f t="shared" si="5"/>
        <v>1</v>
      </c>
      <c r="F30" s="40">
        <f t="shared" si="5"/>
        <v>1</v>
      </c>
      <c r="G30" s="40">
        <f t="shared" si="5"/>
        <v>1</v>
      </c>
      <c r="H30" s="40">
        <f t="shared" si="5"/>
        <v>1</v>
      </c>
      <c r="I30" s="40">
        <f t="shared" si="5"/>
        <v>1</v>
      </c>
      <c r="J30" s="40">
        <f t="shared" si="5"/>
        <v>1</v>
      </c>
      <c r="K30" s="40">
        <f t="shared" si="5"/>
        <v>1</v>
      </c>
      <c r="L30" s="40">
        <f t="shared" si="5"/>
        <v>0</v>
      </c>
      <c r="M30" s="40">
        <f t="shared" si="5"/>
        <v>0</v>
      </c>
      <c r="N30" s="40">
        <f t="shared" si="5"/>
        <v>0</v>
      </c>
      <c r="O30" s="40">
        <f t="shared" si="5"/>
        <v>0</v>
      </c>
      <c r="P30" s="40">
        <f t="shared" si="5"/>
        <v>0</v>
      </c>
      <c r="Q30" s="40">
        <f t="shared" si="5"/>
        <v>0</v>
      </c>
      <c r="R30" s="40">
        <f t="shared" si="5"/>
        <v>1</v>
      </c>
      <c r="S30" s="40">
        <f t="shared" si="5"/>
        <v>1</v>
      </c>
      <c r="T30" s="40">
        <f t="shared" si="5"/>
        <v>1</v>
      </c>
      <c r="U30" s="40">
        <f t="shared" si="5"/>
        <v>1</v>
      </c>
      <c r="V30" s="40">
        <f t="shared" si="5"/>
        <v>1</v>
      </c>
      <c r="W30" s="40">
        <f t="shared" si="5"/>
        <v>1</v>
      </c>
      <c r="X30" s="40">
        <f t="shared" si="5"/>
        <v>1</v>
      </c>
      <c r="Y30" s="40">
        <f t="shared" si="5"/>
        <v>1</v>
      </c>
      <c r="Z30" s="40">
        <f t="shared" si="5"/>
        <v>1</v>
      </c>
      <c r="AA30" s="40">
        <f t="shared" si="5"/>
        <v>1</v>
      </c>
      <c r="AB30" s="40">
        <f t="shared" si="5"/>
        <v>1</v>
      </c>
      <c r="AC30" s="40">
        <f t="shared" ref="AC30:AF30" si="10">IF(AC7=1,1,0)</f>
        <v>1</v>
      </c>
      <c r="AD30" s="40">
        <f t="shared" si="10"/>
        <v>1</v>
      </c>
      <c r="AE30" s="40">
        <f t="shared" si="10"/>
        <v>1</v>
      </c>
      <c r="AF30" s="40">
        <f t="shared" si="10"/>
        <v>1</v>
      </c>
    </row>
    <row r="31" spans="1:32" ht="42" customHeight="1">
      <c r="B31" s="42">
        <v>6</v>
      </c>
      <c r="C31" s="40">
        <f t="shared" si="5"/>
        <v>0</v>
      </c>
      <c r="D31" s="40">
        <f t="shared" si="5"/>
        <v>0</v>
      </c>
      <c r="E31" s="40">
        <f t="shared" si="5"/>
        <v>0</v>
      </c>
      <c r="F31" s="40">
        <f t="shared" si="5"/>
        <v>0</v>
      </c>
      <c r="G31" s="40">
        <f t="shared" si="5"/>
        <v>0</v>
      </c>
      <c r="H31" s="40">
        <f t="shared" si="5"/>
        <v>0</v>
      </c>
      <c r="I31" s="40">
        <f t="shared" si="5"/>
        <v>0</v>
      </c>
      <c r="J31" s="40">
        <f t="shared" si="5"/>
        <v>0</v>
      </c>
      <c r="K31" s="40">
        <f t="shared" si="5"/>
        <v>1</v>
      </c>
      <c r="L31" s="40">
        <f t="shared" si="5"/>
        <v>1</v>
      </c>
      <c r="M31" s="40">
        <f t="shared" si="5"/>
        <v>1</v>
      </c>
      <c r="N31" s="40">
        <f t="shared" si="5"/>
        <v>1</v>
      </c>
      <c r="O31" s="40">
        <f t="shared" si="5"/>
        <v>1</v>
      </c>
      <c r="P31" s="40">
        <f t="shared" si="5"/>
        <v>1</v>
      </c>
      <c r="Q31" s="40">
        <f t="shared" si="5"/>
        <v>1</v>
      </c>
      <c r="R31" s="40">
        <f t="shared" si="5"/>
        <v>0</v>
      </c>
      <c r="S31" s="40">
        <f t="shared" si="5"/>
        <v>0</v>
      </c>
      <c r="T31" s="40">
        <f t="shared" si="5"/>
        <v>0</v>
      </c>
      <c r="U31" s="40">
        <f t="shared" si="5"/>
        <v>1</v>
      </c>
      <c r="V31" s="40">
        <f t="shared" si="5"/>
        <v>1</v>
      </c>
      <c r="W31" s="40">
        <f t="shared" si="5"/>
        <v>1</v>
      </c>
      <c r="X31" s="40">
        <f t="shared" si="5"/>
        <v>1</v>
      </c>
      <c r="Y31" s="40">
        <f t="shared" si="5"/>
        <v>1</v>
      </c>
      <c r="Z31" s="40">
        <f t="shared" si="5"/>
        <v>1</v>
      </c>
      <c r="AA31" s="40">
        <f t="shared" si="5"/>
        <v>1</v>
      </c>
      <c r="AB31" s="40">
        <f t="shared" si="5"/>
        <v>1</v>
      </c>
      <c r="AC31" s="40">
        <f t="shared" ref="AC31:AF31" si="11">IF(AC8=1,1,0)</f>
        <v>1</v>
      </c>
      <c r="AD31" s="40">
        <f t="shared" si="11"/>
        <v>1</v>
      </c>
      <c r="AE31" s="40">
        <f t="shared" si="11"/>
        <v>1</v>
      </c>
      <c r="AF31" s="40">
        <f t="shared" si="11"/>
        <v>1</v>
      </c>
    </row>
    <row r="32" spans="1:32" ht="42" customHeight="1">
      <c r="B32" s="42">
        <v>7</v>
      </c>
      <c r="C32" s="40">
        <f t="shared" si="5"/>
        <v>1</v>
      </c>
      <c r="D32" s="40">
        <f t="shared" si="5"/>
        <v>1</v>
      </c>
      <c r="E32" s="40">
        <f t="shared" si="5"/>
        <v>1</v>
      </c>
      <c r="F32" s="40">
        <f t="shared" si="5"/>
        <v>1</v>
      </c>
      <c r="G32" s="40">
        <f t="shared" si="5"/>
        <v>1</v>
      </c>
      <c r="H32" s="40">
        <f t="shared" si="5"/>
        <v>1</v>
      </c>
      <c r="I32" s="40">
        <f t="shared" si="5"/>
        <v>1</v>
      </c>
      <c r="J32" s="40">
        <f t="shared" si="5"/>
        <v>1</v>
      </c>
      <c r="K32" s="40">
        <f t="shared" si="5"/>
        <v>1</v>
      </c>
      <c r="L32" s="40">
        <f t="shared" si="5"/>
        <v>1</v>
      </c>
      <c r="M32" s="40">
        <f t="shared" si="5"/>
        <v>1</v>
      </c>
      <c r="N32" s="40">
        <f t="shared" si="5"/>
        <v>1</v>
      </c>
      <c r="O32" s="40">
        <f t="shared" si="5"/>
        <v>1</v>
      </c>
      <c r="P32" s="40">
        <f t="shared" si="5"/>
        <v>1</v>
      </c>
      <c r="Q32" s="40">
        <f t="shared" si="5"/>
        <v>1</v>
      </c>
      <c r="R32" s="40">
        <f t="shared" si="5"/>
        <v>0</v>
      </c>
      <c r="S32" s="40">
        <f t="shared" si="5"/>
        <v>0</v>
      </c>
      <c r="T32" s="40">
        <f t="shared" si="5"/>
        <v>0</v>
      </c>
      <c r="U32" s="40">
        <f t="shared" si="5"/>
        <v>0</v>
      </c>
      <c r="V32" s="40">
        <f t="shared" si="5"/>
        <v>0</v>
      </c>
      <c r="W32" s="40">
        <f t="shared" si="5"/>
        <v>0</v>
      </c>
      <c r="X32" s="40">
        <f t="shared" si="5"/>
        <v>0</v>
      </c>
      <c r="Y32" s="40">
        <f t="shared" si="5"/>
        <v>0</v>
      </c>
      <c r="Z32" s="40">
        <f t="shared" si="5"/>
        <v>0</v>
      </c>
      <c r="AA32" s="40">
        <f t="shared" si="5"/>
        <v>0</v>
      </c>
      <c r="AB32" s="40">
        <f t="shared" si="5"/>
        <v>0</v>
      </c>
      <c r="AC32" s="40">
        <f t="shared" ref="AC32:AF32" si="12">IF(AC9=1,1,0)</f>
        <v>1</v>
      </c>
      <c r="AD32" s="40">
        <f t="shared" si="12"/>
        <v>1</v>
      </c>
      <c r="AE32" s="40">
        <f t="shared" si="12"/>
        <v>1</v>
      </c>
      <c r="AF32" s="40">
        <f t="shared" si="12"/>
        <v>1</v>
      </c>
    </row>
    <row r="33" spans="2:32" ht="42" customHeight="1">
      <c r="B33" s="42">
        <v>8</v>
      </c>
      <c r="C33" s="40">
        <f t="shared" si="5"/>
        <v>1</v>
      </c>
      <c r="D33" s="40">
        <f t="shared" si="5"/>
        <v>1</v>
      </c>
      <c r="E33" s="40">
        <f t="shared" si="5"/>
        <v>1</v>
      </c>
      <c r="F33" s="40">
        <f t="shared" si="5"/>
        <v>1</v>
      </c>
      <c r="G33" s="40">
        <f t="shared" si="5"/>
        <v>1</v>
      </c>
      <c r="H33" s="40">
        <f t="shared" si="5"/>
        <v>1</v>
      </c>
      <c r="I33" s="40">
        <f t="shared" si="5"/>
        <v>1</v>
      </c>
      <c r="J33" s="40">
        <f t="shared" si="5"/>
        <v>1</v>
      </c>
      <c r="K33" s="40">
        <f t="shared" si="5"/>
        <v>1</v>
      </c>
      <c r="L33" s="40">
        <f t="shared" si="5"/>
        <v>1</v>
      </c>
      <c r="M33" s="40">
        <f t="shared" si="5"/>
        <v>1</v>
      </c>
      <c r="N33" s="40">
        <f t="shared" si="5"/>
        <v>1</v>
      </c>
      <c r="O33" s="40">
        <f t="shared" si="5"/>
        <v>1</v>
      </c>
      <c r="P33" s="40">
        <f t="shared" si="5"/>
        <v>1</v>
      </c>
      <c r="Q33" s="40">
        <f t="shared" si="5"/>
        <v>1</v>
      </c>
      <c r="R33" s="40">
        <f t="shared" si="5"/>
        <v>1</v>
      </c>
      <c r="S33" s="40">
        <f t="shared" si="5"/>
        <v>1</v>
      </c>
      <c r="T33" s="40">
        <f t="shared" si="5"/>
        <v>1</v>
      </c>
      <c r="U33" s="40">
        <f t="shared" si="5"/>
        <v>1</v>
      </c>
      <c r="V33" s="40">
        <f t="shared" si="5"/>
        <v>1</v>
      </c>
      <c r="W33" s="40">
        <f t="shared" si="5"/>
        <v>1</v>
      </c>
      <c r="X33" s="40">
        <f t="shared" si="5"/>
        <v>1</v>
      </c>
      <c r="Y33" s="40">
        <f t="shared" si="5"/>
        <v>1</v>
      </c>
      <c r="Z33" s="40">
        <f t="shared" si="5"/>
        <v>0</v>
      </c>
      <c r="AA33" s="40">
        <f t="shared" si="5"/>
        <v>0</v>
      </c>
      <c r="AB33" s="40">
        <f t="shared" si="5"/>
        <v>0</v>
      </c>
      <c r="AC33" s="40">
        <f t="shared" ref="AC33:AF33" si="13">IF(AC10=1,1,0)</f>
        <v>1</v>
      </c>
      <c r="AD33" s="40">
        <f t="shared" si="13"/>
        <v>1</v>
      </c>
      <c r="AE33" s="40">
        <f t="shared" si="13"/>
        <v>1</v>
      </c>
      <c r="AF33" s="40">
        <f t="shared" si="13"/>
        <v>1</v>
      </c>
    </row>
    <row r="34" spans="2:32" ht="42" customHeight="1">
      <c r="B34" s="43">
        <v>9</v>
      </c>
      <c r="C34" s="40">
        <f t="shared" si="5"/>
        <v>1</v>
      </c>
      <c r="D34" s="40">
        <f t="shared" si="5"/>
        <v>1</v>
      </c>
      <c r="E34" s="40">
        <f t="shared" si="5"/>
        <v>1</v>
      </c>
      <c r="F34" s="40">
        <f t="shared" si="5"/>
        <v>1</v>
      </c>
      <c r="G34" s="40">
        <f t="shared" si="5"/>
        <v>1</v>
      </c>
      <c r="H34" s="40">
        <f t="shared" si="5"/>
        <v>1</v>
      </c>
      <c r="I34" s="40">
        <f t="shared" si="5"/>
        <v>0</v>
      </c>
      <c r="J34" s="40">
        <f t="shared" si="5"/>
        <v>0</v>
      </c>
      <c r="K34" s="40">
        <f t="shared" si="5"/>
        <v>0</v>
      </c>
      <c r="L34" s="40">
        <f t="shared" si="5"/>
        <v>0</v>
      </c>
      <c r="M34" s="40">
        <f t="shared" si="5"/>
        <v>0</v>
      </c>
      <c r="N34" s="40">
        <f t="shared" si="5"/>
        <v>0</v>
      </c>
      <c r="O34" s="40">
        <f t="shared" si="5"/>
        <v>0</v>
      </c>
      <c r="P34" s="40">
        <f t="shared" si="5"/>
        <v>0</v>
      </c>
      <c r="Q34" s="40">
        <f t="shared" si="5"/>
        <v>0</v>
      </c>
      <c r="R34" s="40">
        <f t="shared" ref="R34:AB34" si="14">IF(R11=1,1,0)</f>
        <v>1</v>
      </c>
      <c r="S34" s="40">
        <f t="shared" si="14"/>
        <v>1</v>
      </c>
      <c r="T34" s="40">
        <f t="shared" si="14"/>
        <v>1</v>
      </c>
      <c r="U34" s="40">
        <f t="shared" si="14"/>
        <v>1</v>
      </c>
      <c r="V34" s="40">
        <f t="shared" si="14"/>
        <v>1</v>
      </c>
      <c r="W34" s="40">
        <f t="shared" si="14"/>
        <v>1</v>
      </c>
      <c r="X34" s="40">
        <f t="shared" si="14"/>
        <v>1</v>
      </c>
      <c r="Y34" s="40">
        <f t="shared" si="14"/>
        <v>1</v>
      </c>
      <c r="Z34" s="40">
        <f t="shared" si="14"/>
        <v>1</v>
      </c>
      <c r="AA34" s="40">
        <f t="shared" si="14"/>
        <v>1</v>
      </c>
      <c r="AB34" s="40">
        <f t="shared" si="14"/>
        <v>0</v>
      </c>
      <c r="AC34" s="40">
        <f t="shared" ref="AC34:AF34" si="15">IF(AC11=1,1,0)</f>
        <v>0</v>
      </c>
      <c r="AD34" s="40">
        <f t="shared" si="15"/>
        <v>0</v>
      </c>
      <c r="AE34" s="40">
        <f t="shared" si="15"/>
        <v>1</v>
      </c>
      <c r="AF34" s="40">
        <f t="shared" si="15"/>
        <v>0</v>
      </c>
    </row>
    <row r="35" spans="2:32" ht="42" customHeight="1">
      <c r="B35" s="44">
        <v>10</v>
      </c>
      <c r="C35" s="40">
        <f t="shared" ref="C35:AB38" si="16">IF(C12=1,1,0)</f>
        <v>1</v>
      </c>
      <c r="D35" s="40">
        <f t="shared" si="16"/>
        <v>1</v>
      </c>
      <c r="E35" s="40">
        <f t="shared" si="16"/>
        <v>1</v>
      </c>
      <c r="F35" s="40">
        <f t="shared" si="16"/>
        <v>1</v>
      </c>
      <c r="G35" s="40">
        <f t="shared" si="16"/>
        <v>1</v>
      </c>
      <c r="H35" s="40">
        <f t="shared" si="16"/>
        <v>1</v>
      </c>
      <c r="I35" s="40">
        <f t="shared" si="16"/>
        <v>1</v>
      </c>
      <c r="J35" s="40">
        <f t="shared" si="16"/>
        <v>1</v>
      </c>
      <c r="K35" s="40">
        <f t="shared" si="16"/>
        <v>1</v>
      </c>
      <c r="L35" s="40">
        <f t="shared" si="16"/>
        <v>1</v>
      </c>
      <c r="M35" s="40">
        <f t="shared" si="16"/>
        <v>1</v>
      </c>
      <c r="N35" s="40">
        <f t="shared" si="16"/>
        <v>1</v>
      </c>
      <c r="O35" s="40">
        <f t="shared" si="16"/>
        <v>1</v>
      </c>
      <c r="P35" s="40">
        <f t="shared" si="16"/>
        <v>1</v>
      </c>
      <c r="Q35" s="40">
        <f t="shared" si="16"/>
        <v>1</v>
      </c>
      <c r="R35" s="40">
        <f t="shared" si="16"/>
        <v>1</v>
      </c>
      <c r="S35" s="40">
        <f t="shared" si="16"/>
        <v>1</v>
      </c>
      <c r="T35" s="40">
        <f t="shared" si="16"/>
        <v>1</v>
      </c>
      <c r="U35" s="40">
        <f t="shared" si="16"/>
        <v>1</v>
      </c>
      <c r="V35" s="40">
        <f t="shared" si="16"/>
        <v>1</v>
      </c>
      <c r="W35" s="40">
        <f t="shared" si="16"/>
        <v>1</v>
      </c>
      <c r="X35" s="40">
        <f t="shared" si="16"/>
        <v>1</v>
      </c>
      <c r="Y35" s="40">
        <f t="shared" si="16"/>
        <v>1</v>
      </c>
      <c r="Z35" s="40">
        <f t="shared" si="16"/>
        <v>1</v>
      </c>
      <c r="AA35" s="40">
        <f t="shared" si="16"/>
        <v>1</v>
      </c>
      <c r="AB35" s="40">
        <f t="shared" si="16"/>
        <v>1</v>
      </c>
      <c r="AC35" s="40">
        <f t="shared" ref="AC35:AF35" si="17">IF(AC12=1,1,0)</f>
        <v>1</v>
      </c>
      <c r="AD35" s="40">
        <f t="shared" si="17"/>
        <v>1</v>
      </c>
      <c r="AE35" s="40">
        <f t="shared" si="17"/>
        <v>1</v>
      </c>
      <c r="AF35" s="40">
        <f t="shared" si="17"/>
        <v>1</v>
      </c>
    </row>
    <row r="36" spans="2:32" ht="42" customHeight="1">
      <c r="B36" s="44">
        <v>11</v>
      </c>
      <c r="C36" s="40">
        <f t="shared" si="16"/>
        <v>1</v>
      </c>
      <c r="D36" s="40">
        <f t="shared" si="16"/>
        <v>1</v>
      </c>
      <c r="E36" s="40">
        <f t="shared" si="16"/>
        <v>1</v>
      </c>
      <c r="F36" s="40">
        <f t="shared" si="16"/>
        <v>1</v>
      </c>
      <c r="G36" s="40">
        <f t="shared" si="16"/>
        <v>1</v>
      </c>
      <c r="H36" s="40">
        <f t="shared" si="16"/>
        <v>1</v>
      </c>
      <c r="I36" s="40">
        <f t="shared" si="16"/>
        <v>1</v>
      </c>
      <c r="J36" s="40">
        <f t="shared" si="16"/>
        <v>1</v>
      </c>
      <c r="K36" s="40">
        <f t="shared" si="16"/>
        <v>1</v>
      </c>
      <c r="L36" s="40">
        <f t="shared" si="16"/>
        <v>1</v>
      </c>
      <c r="M36" s="40">
        <f t="shared" si="16"/>
        <v>1</v>
      </c>
      <c r="N36" s="40">
        <f t="shared" si="16"/>
        <v>1</v>
      </c>
      <c r="O36" s="40">
        <f t="shared" si="16"/>
        <v>1</v>
      </c>
      <c r="P36" s="40">
        <f t="shared" si="16"/>
        <v>1</v>
      </c>
      <c r="Q36" s="40">
        <f t="shared" si="16"/>
        <v>1</v>
      </c>
      <c r="R36" s="40">
        <f t="shared" si="16"/>
        <v>1</v>
      </c>
      <c r="S36" s="40">
        <f t="shared" si="16"/>
        <v>1</v>
      </c>
      <c r="T36" s="40">
        <f t="shared" si="16"/>
        <v>1</v>
      </c>
      <c r="U36" s="40">
        <f t="shared" si="16"/>
        <v>1</v>
      </c>
      <c r="V36" s="40">
        <f t="shared" si="16"/>
        <v>1</v>
      </c>
      <c r="W36" s="40">
        <f t="shared" si="16"/>
        <v>1</v>
      </c>
      <c r="X36" s="40">
        <f t="shared" si="16"/>
        <v>1</v>
      </c>
      <c r="Y36" s="40">
        <f t="shared" si="16"/>
        <v>1</v>
      </c>
      <c r="Z36" s="40">
        <f t="shared" si="16"/>
        <v>1</v>
      </c>
      <c r="AA36" s="40">
        <f t="shared" si="16"/>
        <v>1</v>
      </c>
      <c r="AB36" s="40">
        <f t="shared" si="16"/>
        <v>1</v>
      </c>
      <c r="AC36" s="40">
        <f t="shared" ref="AC36:AF36" si="18">IF(AC13=1,1,0)</f>
        <v>1</v>
      </c>
      <c r="AD36" s="40">
        <f t="shared" si="18"/>
        <v>1</v>
      </c>
      <c r="AE36" s="40">
        <f t="shared" si="18"/>
        <v>1</v>
      </c>
      <c r="AF36" s="40">
        <f t="shared" si="18"/>
        <v>1</v>
      </c>
    </row>
    <row r="37" spans="2:32" ht="42" customHeight="1">
      <c r="B37" s="42">
        <v>12</v>
      </c>
      <c r="C37" s="40">
        <f t="shared" si="16"/>
        <v>1</v>
      </c>
      <c r="D37" s="40">
        <f t="shared" si="16"/>
        <v>1</v>
      </c>
      <c r="E37" s="40">
        <f t="shared" si="16"/>
        <v>0</v>
      </c>
      <c r="F37" s="40">
        <f t="shared" si="16"/>
        <v>0</v>
      </c>
      <c r="G37" s="40">
        <f t="shared" si="16"/>
        <v>0</v>
      </c>
      <c r="H37" s="40">
        <f t="shared" si="16"/>
        <v>0</v>
      </c>
      <c r="I37" s="40">
        <f t="shared" si="16"/>
        <v>0</v>
      </c>
      <c r="J37" s="40">
        <f t="shared" si="16"/>
        <v>0</v>
      </c>
      <c r="K37" s="40">
        <f t="shared" si="16"/>
        <v>0</v>
      </c>
      <c r="L37" s="40">
        <f t="shared" si="16"/>
        <v>0</v>
      </c>
      <c r="M37" s="40">
        <f t="shared" si="16"/>
        <v>0</v>
      </c>
      <c r="N37" s="40">
        <f t="shared" si="16"/>
        <v>0</v>
      </c>
      <c r="O37" s="40">
        <f t="shared" si="16"/>
        <v>0</v>
      </c>
      <c r="P37" s="40">
        <f t="shared" si="16"/>
        <v>1</v>
      </c>
      <c r="Q37" s="40">
        <f t="shared" si="16"/>
        <v>1</v>
      </c>
      <c r="R37" s="40">
        <f t="shared" si="16"/>
        <v>1</v>
      </c>
      <c r="S37" s="40">
        <f t="shared" si="16"/>
        <v>1</v>
      </c>
      <c r="T37" s="40">
        <f t="shared" si="16"/>
        <v>1</v>
      </c>
      <c r="U37" s="40">
        <f t="shared" si="16"/>
        <v>1</v>
      </c>
      <c r="V37" s="40">
        <f t="shared" si="16"/>
        <v>1</v>
      </c>
      <c r="W37" s="40">
        <f t="shared" si="16"/>
        <v>1</v>
      </c>
      <c r="X37" s="40">
        <f t="shared" si="16"/>
        <v>1</v>
      </c>
      <c r="Y37" s="40">
        <f t="shared" si="16"/>
        <v>1</v>
      </c>
      <c r="Z37" s="40">
        <f t="shared" si="16"/>
        <v>1</v>
      </c>
      <c r="AA37" s="40">
        <f t="shared" si="16"/>
        <v>1</v>
      </c>
      <c r="AB37" s="40">
        <f t="shared" si="16"/>
        <v>1</v>
      </c>
      <c r="AC37" s="40">
        <f t="shared" ref="AC37:AF37" si="19">IF(AC14=1,1,0)</f>
        <v>1</v>
      </c>
      <c r="AD37" s="40">
        <f t="shared" si="19"/>
        <v>1</v>
      </c>
      <c r="AE37" s="40">
        <f t="shared" si="19"/>
        <v>1</v>
      </c>
      <c r="AF37" s="40">
        <f t="shared" si="19"/>
        <v>1</v>
      </c>
    </row>
    <row r="38" spans="2:32" ht="42" customHeight="1">
      <c r="B38" s="45" t="s">
        <v>111</v>
      </c>
      <c r="C38" s="40">
        <f t="shared" si="16"/>
        <v>1</v>
      </c>
      <c r="D38" s="40">
        <f t="shared" si="16"/>
        <v>1</v>
      </c>
      <c r="E38" s="40">
        <f t="shared" si="16"/>
        <v>0</v>
      </c>
      <c r="F38" s="40">
        <f t="shared" si="16"/>
        <v>0</v>
      </c>
      <c r="G38" s="40">
        <f t="shared" si="16"/>
        <v>0</v>
      </c>
      <c r="H38" s="40">
        <f t="shared" si="16"/>
        <v>0</v>
      </c>
      <c r="I38" s="40">
        <f t="shared" si="16"/>
        <v>0</v>
      </c>
      <c r="J38" s="40">
        <f t="shared" si="16"/>
        <v>0</v>
      </c>
      <c r="K38" s="40">
        <f t="shared" si="16"/>
        <v>0</v>
      </c>
      <c r="L38" s="40">
        <f t="shared" si="16"/>
        <v>0</v>
      </c>
      <c r="M38" s="40">
        <f t="shared" si="16"/>
        <v>0</v>
      </c>
      <c r="N38" s="40">
        <f t="shared" si="16"/>
        <v>0</v>
      </c>
      <c r="O38" s="40">
        <f t="shared" si="16"/>
        <v>0</v>
      </c>
      <c r="P38" s="40">
        <f t="shared" si="16"/>
        <v>1</v>
      </c>
      <c r="Q38" s="40">
        <f t="shared" si="16"/>
        <v>1</v>
      </c>
      <c r="R38" s="40">
        <f t="shared" si="16"/>
        <v>1</v>
      </c>
      <c r="S38" s="40">
        <f t="shared" si="16"/>
        <v>1</v>
      </c>
      <c r="T38" s="40">
        <f t="shared" si="16"/>
        <v>1</v>
      </c>
      <c r="U38" s="40">
        <f t="shared" si="16"/>
        <v>1</v>
      </c>
      <c r="V38" s="40">
        <f t="shared" si="16"/>
        <v>1</v>
      </c>
      <c r="W38" s="40">
        <f t="shared" si="16"/>
        <v>0</v>
      </c>
      <c r="X38" s="40">
        <f t="shared" si="16"/>
        <v>0</v>
      </c>
      <c r="Y38" s="40">
        <f t="shared" si="16"/>
        <v>0</v>
      </c>
      <c r="Z38" s="40">
        <f t="shared" si="16"/>
        <v>1</v>
      </c>
      <c r="AA38" s="40">
        <f t="shared" si="16"/>
        <v>1</v>
      </c>
      <c r="AB38" s="40">
        <f t="shared" si="16"/>
        <v>1</v>
      </c>
      <c r="AC38" s="40">
        <f t="shared" ref="AC38:AF38" si="20">IF(AC15=1,1,0)</f>
        <v>1</v>
      </c>
      <c r="AD38" s="40">
        <f t="shared" si="20"/>
        <v>0</v>
      </c>
      <c r="AE38" s="40">
        <f t="shared" si="20"/>
        <v>0</v>
      </c>
      <c r="AF38" s="40">
        <f t="shared" si="20"/>
        <v>0</v>
      </c>
    </row>
  </sheetData>
  <mergeCells count="26">
    <mergeCell ref="AC3:AF4"/>
    <mergeCell ref="Q3:T3"/>
    <mergeCell ref="H3:L3"/>
    <mergeCell ref="C5:I5"/>
    <mergeCell ref="C8:G8"/>
    <mergeCell ref="D6:F6"/>
    <mergeCell ref="E3:G3"/>
    <mergeCell ref="H8:J8"/>
    <mergeCell ref="J4:L4"/>
    <mergeCell ref="K5:M5"/>
    <mergeCell ref="W15:Y15"/>
    <mergeCell ref="AD15:AF15"/>
    <mergeCell ref="O5:Q5"/>
    <mergeCell ref="M11:P11"/>
    <mergeCell ref="W5:Z5"/>
    <mergeCell ref="L7:Q7"/>
    <mergeCell ref="I11:L11"/>
    <mergeCell ref="V9:Y9"/>
    <mergeCell ref="W6:Y6"/>
    <mergeCell ref="O6:V6"/>
    <mergeCell ref="E14:O14"/>
    <mergeCell ref="AB11:AD11"/>
    <mergeCell ref="R8:T8"/>
    <mergeCell ref="Z9:AB10"/>
    <mergeCell ref="T5:V5"/>
    <mergeCell ref="E15:I15"/>
  </mergeCells>
  <conditionalFormatting sqref="C17:AF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7ADD-5043-4B29-B089-91E4B3B19BA8}">
  <sheetPr>
    <tabColor theme="4" tint="0.59999389629810485"/>
  </sheetPr>
  <dimension ref="A1:AG38"/>
  <sheetViews>
    <sheetView zoomScale="40" zoomScaleNormal="40" workbookViewId="0">
      <pane xSplit="2" ySplit="2" topLeftCell="M11" activePane="bottomRight" state="frozen"/>
      <selection pane="bottomRight" activeCell="AM16" sqref="AM16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33" width="16.710937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29" t="s">
        <v>6</v>
      </c>
      <c r="D2" s="28" t="s">
        <v>7</v>
      </c>
      <c r="E2" s="28" t="s">
        <v>8</v>
      </c>
      <c r="F2" s="30" t="s">
        <v>2</v>
      </c>
      <c r="G2" s="31" t="s">
        <v>3</v>
      </c>
      <c r="H2" s="28" t="s">
        <v>4</v>
      </c>
      <c r="I2" s="28" t="s">
        <v>5</v>
      </c>
      <c r="J2" s="29" t="s">
        <v>6</v>
      </c>
      <c r="K2" s="28" t="s">
        <v>7</v>
      </c>
      <c r="L2" s="28" t="s">
        <v>8</v>
      </c>
      <c r="M2" s="30" t="s">
        <v>2</v>
      </c>
      <c r="N2" s="31" t="s">
        <v>3</v>
      </c>
      <c r="O2" s="28" t="s">
        <v>4</v>
      </c>
      <c r="P2" s="28" t="s">
        <v>5</v>
      </c>
      <c r="Q2" s="29" t="s">
        <v>6</v>
      </c>
      <c r="R2" s="28" t="s">
        <v>7</v>
      </c>
      <c r="S2" s="28" t="s">
        <v>8</v>
      </c>
      <c r="T2" s="30" t="s">
        <v>2</v>
      </c>
      <c r="U2" s="31" t="s">
        <v>3</v>
      </c>
      <c r="V2" s="28" t="s">
        <v>4</v>
      </c>
      <c r="W2" s="28" t="s">
        <v>5</v>
      </c>
      <c r="X2" s="29" t="s">
        <v>6</v>
      </c>
      <c r="Y2" s="28" t="s">
        <v>7</v>
      </c>
      <c r="Z2" s="28" t="s">
        <v>8</v>
      </c>
      <c r="AA2" s="30" t="s">
        <v>2</v>
      </c>
      <c r="AB2" s="31" t="s">
        <v>3</v>
      </c>
      <c r="AC2" s="28" t="s">
        <v>4</v>
      </c>
      <c r="AD2" s="28" t="s">
        <v>5</v>
      </c>
      <c r="AE2" s="29" t="s">
        <v>6</v>
      </c>
      <c r="AF2" s="28" t="s">
        <v>7</v>
      </c>
      <c r="AG2" s="28" t="s">
        <v>8</v>
      </c>
    </row>
    <row r="3" spans="1:33" ht="85.5" customHeight="1">
      <c r="A3" s="32">
        <v>1</v>
      </c>
      <c r="B3" s="33" t="s">
        <v>9</v>
      </c>
      <c r="C3" s="259" t="s">
        <v>617</v>
      </c>
      <c r="D3" s="259"/>
      <c r="E3" s="259"/>
      <c r="F3" s="23">
        <v>1</v>
      </c>
      <c r="G3" s="23">
        <v>1</v>
      </c>
      <c r="H3" s="23">
        <v>1</v>
      </c>
      <c r="I3" s="385" t="s">
        <v>642</v>
      </c>
      <c r="J3" s="283"/>
      <c r="K3" s="287"/>
      <c r="L3" s="636" t="s">
        <v>643</v>
      </c>
      <c r="M3" s="601"/>
      <c r="N3" s="637"/>
      <c r="O3" s="636" t="s">
        <v>644</v>
      </c>
      <c r="P3" s="601"/>
      <c r="Q3" s="637"/>
      <c r="R3" s="23">
        <v>1</v>
      </c>
      <c r="S3" s="23">
        <v>1</v>
      </c>
      <c r="T3" s="23">
        <v>1</v>
      </c>
      <c r="U3" s="23">
        <v>1</v>
      </c>
      <c r="V3" s="23">
        <v>1</v>
      </c>
      <c r="W3" s="23">
        <v>1</v>
      </c>
      <c r="X3" s="23">
        <v>1</v>
      </c>
      <c r="Y3" s="537" t="s">
        <v>645</v>
      </c>
      <c r="Z3" s="401"/>
      <c r="AA3" s="538"/>
      <c r="AB3" s="23">
        <v>1</v>
      </c>
      <c r="AC3" s="370" t="s">
        <v>646</v>
      </c>
      <c r="AD3" s="246"/>
      <c r="AE3" s="371"/>
      <c r="AF3" s="23">
        <v>1</v>
      </c>
      <c r="AG3" s="23">
        <v>1</v>
      </c>
    </row>
    <row r="4" spans="1:33" ht="85.5" customHeight="1">
      <c r="A4" s="34">
        <v>2</v>
      </c>
      <c r="B4" s="33" t="s">
        <v>9</v>
      </c>
      <c r="C4" s="268"/>
      <c r="D4" s="268"/>
      <c r="E4" s="268"/>
      <c r="F4" s="84"/>
      <c r="G4" s="84"/>
      <c r="H4" s="23">
        <v>1</v>
      </c>
      <c r="I4" s="23">
        <v>1</v>
      </c>
      <c r="J4" s="23">
        <v>1</v>
      </c>
      <c r="K4" s="215" t="s">
        <v>647</v>
      </c>
      <c r="L4" s="279"/>
      <c r="M4" s="225"/>
      <c r="N4" s="23">
        <v>1</v>
      </c>
      <c r="O4" s="381" t="s">
        <v>648</v>
      </c>
      <c r="P4" s="386"/>
      <c r="Q4" s="386"/>
      <c r="R4" s="387"/>
      <c r="S4" s="23">
        <v>1</v>
      </c>
      <c r="T4" s="23">
        <v>1</v>
      </c>
      <c r="U4" s="23">
        <v>1</v>
      </c>
      <c r="V4" s="23">
        <v>1</v>
      </c>
      <c r="W4" s="23">
        <v>1</v>
      </c>
      <c r="X4" s="23">
        <v>1</v>
      </c>
      <c r="Y4" s="370"/>
      <c r="Z4" s="246"/>
      <c r="AA4" s="371"/>
      <c r="AB4" s="23">
        <v>1</v>
      </c>
      <c r="AC4" s="370"/>
      <c r="AD4" s="638"/>
      <c r="AE4" s="371"/>
      <c r="AF4" s="218" t="s">
        <v>649</v>
      </c>
      <c r="AG4" s="217"/>
    </row>
    <row r="5" spans="1:33" ht="108" customHeight="1">
      <c r="A5" s="34">
        <v>3</v>
      </c>
      <c r="B5" s="33" t="s">
        <v>29</v>
      </c>
      <c r="C5" s="215" t="s">
        <v>624</v>
      </c>
      <c r="D5" s="225"/>
      <c r="E5" s="23">
        <v>1</v>
      </c>
      <c r="F5" s="641" t="s">
        <v>650</v>
      </c>
      <c r="G5" s="615"/>
      <c r="H5" s="615"/>
      <c r="I5" s="615"/>
      <c r="J5" s="615"/>
      <c r="K5" s="616"/>
      <c r="L5" s="23">
        <v>1</v>
      </c>
      <c r="M5" s="23">
        <v>1</v>
      </c>
      <c r="N5" s="23">
        <v>1</v>
      </c>
      <c r="O5" s="635"/>
      <c r="P5" s="283"/>
      <c r="Q5" s="283"/>
      <c r="R5" s="287"/>
      <c r="S5" s="215" t="s">
        <v>651</v>
      </c>
      <c r="T5" s="279"/>
      <c r="U5" s="225"/>
      <c r="V5" s="213" t="s">
        <v>652</v>
      </c>
      <c r="W5" s="214"/>
      <c r="X5" s="227"/>
      <c r="Y5" s="254"/>
      <c r="Z5" s="255"/>
      <c r="AA5" s="298"/>
      <c r="AB5" s="65">
        <v>1</v>
      </c>
      <c r="AC5" s="84"/>
      <c r="AD5" s="84"/>
      <c r="AE5" s="84"/>
      <c r="AF5" s="84"/>
      <c r="AG5" s="84"/>
    </row>
    <row r="6" spans="1:33" ht="108" customHeight="1">
      <c r="A6" s="34">
        <v>4</v>
      </c>
      <c r="B6" s="33" t="s">
        <v>37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23">
        <v>1</v>
      </c>
      <c r="I6" s="23">
        <v>1</v>
      </c>
      <c r="J6" s="23">
        <v>1</v>
      </c>
      <c r="K6" s="23">
        <v>1</v>
      </c>
      <c r="L6" s="23">
        <v>1</v>
      </c>
      <c r="M6" s="23">
        <v>1</v>
      </c>
      <c r="N6" s="281" t="s">
        <v>653</v>
      </c>
      <c r="O6" s="282"/>
      <c r="P6" s="282"/>
      <c r="Q6" s="297"/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X6" s="215" t="s">
        <v>654</v>
      </c>
      <c r="Y6" s="279"/>
      <c r="Z6" s="279"/>
      <c r="AA6" s="279"/>
      <c r="AB6" s="225"/>
      <c r="AC6" s="47">
        <v>1</v>
      </c>
      <c r="AD6" s="47">
        <v>1</v>
      </c>
      <c r="AE6" s="47">
        <v>1</v>
      </c>
      <c r="AF6" s="47">
        <v>1</v>
      </c>
      <c r="AG6" s="47">
        <v>1</v>
      </c>
    </row>
    <row r="7" spans="1:33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81" t="s">
        <v>655</v>
      </c>
      <c r="O7" s="282"/>
      <c r="P7" s="297"/>
      <c r="Q7" s="213" t="s">
        <v>656</v>
      </c>
      <c r="R7" s="214"/>
      <c r="S7" s="227"/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81" t="s">
        <v>657</v>
      </c>
      <c r="Z7" s="282"/>
      <c r="AA7" s="297"/>
      <c r="AB7" s="23">
        <v>1</v>
      </c>
      <c r="AC7" s="23">
        <v>1</v>
      </c>
      <c r="AD7" s="23">
        <v>1</v>
      </c>
      <c r="AE7" s="23">
        <v>1</v>
      </c>
      <c r="AF7" s="23">
        <v>1</v>
      </c>
      <c r="AG7" s="639" t="s">
        <v>658</v>
      </c>
    </row>
    <row r="8" spans="1:33" ht="103.35" customHeight="1">
      <c r="A8" s="34">
        <v>6</v>
      </c>
      <c r="B8" s="33" t="s">
        <v>9</v>
      </c>
      <c r="C8" s="23">
        <v>1</v>
      </c>
      <c r="D8" s="23">
        <v>1</v>
      </c>
      <c r="E8" s="215" t="s">
        <v>659</v>
      </c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25"/>
      <c r="R8" s="23">
        <v>1</v>
      </c>
      <c r="S8" s="23">
        <v>1</v>
      </c>
      <c r="T8" s="23">
        <v>1</v>
      </c>
      <c r="U8" s="23">
        <v>1</v>
      </c>
      <c r="V8" s="23">
        <v>1</v>
      </c>
      <c r="W8" s="281" t="s">
        <v>660</v>
      </c>
      <c r="X8" s="282"/>
      <c r="Y8" s="297"/>
      <c r="Z8" s="23">
        <v>1</v>
      </c>
      <c r="AA8" s="23">
        <v>1</v>
      </c>
      <c r="AB8" s="23">
        <v>1</v>
      </c>
      <c r="AC8" s="215" t="s">
        <v>646</v>
      </c>
      <c r="AD8" s="279"/>
      <c r="AE8" s="225"/>
      <c r="AF8" s="23">
        <v>1</v>
      </c>
      <c r="AG8" s="640"/>
    </row>
    <row r="9" spans="1:33" ht="112.5" customHeight="1">
      <c r="A9" s="34">
        <v>7</v>
      </c>
      <c r="B9" s="33" t="s">
        <v>9</v>
      </c>
      <c r="C9" s="281" t="s">
        <v>661</v>
      </c>
      <c r="D9" s="282"/>
      <c r="E9" s="282"/>
      <c r="F9" s="282"/>
      <c r="G9" s="297"/>
      <c r="H9" s="23">
        <v>1</v>
      </c>
      <c r="I9" s="23">
        <v>1</v>
      </c>
      <c r="J9" s="23">
        <v>1</v>
      </c>
      <c r="K9" s="23">
        <v>1</v>
      </c>
      <c r="L9" s="359" t="s">
        <v>662</v>
      </c>
      <c r="M9" s="360"/>
      <c r="N9" s="361"/>
      <c r="O9" s="23">
        <v>1</v>
      </c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281" t="s">
        <v>663</v>
      </c>
      <c r="AE9" s="282"/>
      <c r="AF9" s="297"/>
      <c r="AG9" s="23">
        <v>1</v>
      </c>
    </row>
    <row r="10" spans="1:33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15" t="s">
        <v>664</v>
      </c>
      <c r="J10" s="279"/>
      <c r="K10" s="279"/>
      <c r="L10" s="225"/>
      <c r="M10" s="215" t="s">
        <v>665</v>
      </c>
      <c r="N10" s="279"/>
      <c r="O10" s="225"/>
      <c r="P10" s="23">
        <v>1</v>
      </c>
      <c r="Q10" s="385" t="s">
        <v>666</v>
      </c>
      <c r="R10" s="283"/>
      <c r="S10" s="283"/>
      <c r="T10" s="283"/>
      <c r="U10" s="283"/>
      <c r="V10" s="287"/>
      <c r="W10" s="277" t="s">
        <v>667</v>
      </c>
      <c r="X10" s="202"/>
      <c r="Y10" s="203"/>
      <c r="Z10" s="23">
        <v>1</v>
      </c>
      <c r="AA10" s="23">
        <v>1</v>
      </c>
      <c r="AB10" s="23">
        <v>1</v>
      </c>
      <c r="AC10" s="23">
        <v>1</v>
      </c>
      <c r="AD10" s="23">
        <v>1</v>
      </c>
      <c r="AE10" s="23">
        <v>1</v>
      </c>
      <c r="AF10" s="23">
        <v>1</v>
      </c>
      <c r="AG10" s="23">
        <v>1</v>
      </c>
    </row>
    <row r="11" spans="1:33" ht="85.5" customHeight="1">
      <c r="A11" s="34">
        <v>9</v>
      </c>
      <c r="B11" s="35" t="s">
        <v>29</v>
      </c>
      <c r="C11" s="213" t="s">
        <v>668</v>
      </c>
      <c r="D11" s="227"/>
      <c r="E11" s="23">
        <v>1</v>
      </c>
      <c r="F11" s="546" t="s">
        <v>669</v>
      </c>
      <c r="G11" s="547"/>
      <c r="H11" s="548"/>
      <c r="I11" s="215" t="s">
        <v>670</v>
      </c>
      <c r="J11" s="279"/>
      <c r="K11" s="279"/>
      <c r="L11" s="225"/>
      <c r="M11" s="23">
        <v>1</v>
      </c>
      <c r="N11" s="281" t="s">
        <v>671</v>
      </c>
      <c r="O11" s="282"/>
      <c r="P11" s="282"/>
      <c r="Q11" s="282"/>
      <c r="R11" s="282"/>
      <c r="S11" s="282"/>
      <c r="T11" s="297"/>
      <c r="U11" s="23">
        <v>1</v>
      </c>
      <c r="V11" s="23">
        <v>1</v>
      </c>
      <c r="W11" s="23">
        <v>1</v>
      </c>
      <c r="X11" s="23">
        <v>1</v>
      </c>
      <c r="Y11" s="23">
        <v>1</v>
      </c>
      <c r="Z11" s="23">
        <v>1</v>
      </c>
      <c r="AA11" s="215" t="s">
        <v>672</v>
      </c>
      <c r="AB11" s="279"/>
      <c r="AC11" s="279"/>
      <c r="AD11" s="279"/>
      <c r="AE11" s="279"/>
      <c r="AF11" s="225"/>
      <c r="AG11" s="23">
        <v>1</v>
      </c>
    </row>
    <row r="12" spans="1:33" ht="85.5" customHeight="1">
      <c r="A12" s="34">
        <v>10</v>
      </c>
      <c r="B12" s="33" t="s">
        <v>37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381" t="s">
        <v>673</v>
      </c>
      <c r="J12" s="386"/>
      <c r="K12" s="387"/>
      <c r="L12" s="23">
        <v>1</v>
      </c>
      <c r="M12" s="215" t="s">
        <v>665</v>
      </c>
      <c r="N12" s="279"/>
      <c r="O12" s="225"/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46">
        <v>1</v>
      </c>
      <c r="Z12" s="46">
        <v>1</v>
      </c>
      <c r="AA12" s="46">
        <v>1</v>
      </c>
      <c r="AB12" s="46">
        <v>1</v>
      </c>
      <c r="AC12" s="23">
        <v>1</v>
      </c>
      <c r="AD12" s="23">
        <v>1</v>
      </c>
      <c r="AE12" s="23">
        <v>1</v>
      </c>
      <c r="AF12" s="23">
        <v>1</v>
      </c>
      <c r="AG12" s="23">
        <v>1</v>
      </c>
    </row>
    <row r="13" spans="1:33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635"/>
      <c r="J13" s="283"/>
      <c r="K13" s="287"/>
      <c r="L13" s="23">
        <v>1</v>
      </c>
      <c r="M13" s="381" t="s">
        <v>674</v>
      </c>
      <c r="N13" s="386"/>
      <c r="O13" s="386"/>
      <c r="P13" s="386"/>
      <c r="Q13" s="386"/>
      <c r="R13" s="386"/>
      <c r="S13" s="387"/>
      <c r="T13" s="218" t="s">
        <v>675</v>
      </c>
      <c r="U13" s="216"/>
      <c r="V13" s="216"/>
      <c r="W13" s="216"/>
      <c r="X13" s="216"/>
      <c r="Y13" s="121"/>
      <c r="Z13" s="121"/>
      <c r="AA13" s="121"/>
      <c r="AB13" s="121"/>
      <c r="AC13" s="108">
        <v>1</v>
      </c>
      <c r="AD13" s="23">
        <v>1</v>
      </c>
      <c r="AE13" s="23">
        <v>1</v>
      </c>
      <c r="AF13" s="23">
        <v>1</v>
      </c>
      <c r="AG13" s="23">
        <v>1</v>
      </c>
    </row>
    <row r="14" spans="1:33" ht="85.5" customHeight="1">
      <c r="A14" s="34">
        <v>12</v>
      </c>
      <c r="B14" s="33" t="s">
        <v>9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  <c r="K14" s="23">
        <v>1</v>
      </c>
      <c r="L14" s="23">
        <v>1</v>
      </c>
      <c r="M14" s="635"/>
      <c r="N14" s="283"/>
      <c r="O14" s="283"/>
      <c r="P14" s="283"/>
      <c r="Q14" s="283"/>
      <c r="R14" s="283"/>
      <c r="S14" s="287"/>
      <c r="T14" s="218" t="s">
        <v>676</v>
      </c>
      <c r="U14" s="216"/>
      <c r="V14" s="216"/>
      <c r="W14" s="216"/>
      <c r="X14" s="217"/>
      <c r="Y14" s="302" t="s">
        <v>677</v>
      </c>
      <c r="Z14" s="303"/>
      <c r="AA14" s="303"/>
      <c r="AB14" s="304"/>
      <c r="AC14" s="23">
        <v>1</v>
      </c>
      <c r="AD14" s="23">
        <v>1</v>
      </c>
      <c r="AE14" s="23">
        <v>1</v>
      </c>
      <c r="AF14" s="215" t="s">
        <v>678</v>
      </c>
      <c r="AG14" s="225"/>
    </row>
    <row r="15" spans="1:33" ht="85.5" customHeight="1">
      <c r="A15" s="34" t="s">
        <v>111</v>
      </c>
      <c r="B15" s="33" t="s">
        <v>112</v>
      </c>
      <c r="C15" s="192" t="s">
        <v>641</v>
      </c>
      <c r="D15" s="23">
        <v>1</v>
      </c>
      <c r="E15" s="213" t="s">
        <v>679</v>
      </c>
      <c r="F15" s="214"/>
      <c r="G15" s="227"/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15" t="s">
        <v>665</v>
      </c>
      <c r="N15" s="279"/>
      <c r="O15" s="225"/>
      <c r="P15" s="215" t="s">
        <v>680</v>
      </c>
      <c r="Q15" s="279"/>
      <c r="R15" s="225"/>
      <c r="S15" s="215" t="s">
        <v>681</v>
      </c>
      <c r="T15" s="279"/>
      <c r="U15" s="225"/>
      <c r="V15" s="23">
        <v>1</v>
      </c>
      <c r="W15" s="23">
        <v>1</v>
      </c>
      <c r="X15" s="215" t="s">
        <v>682</v>
      </c>
      <c r="Y15" s="279"/>
      <c r="Z15" s="225"/>
      <c r="AA15" s="23">
        <v>1</v>
      </c>
      <c r="AB15" s="23">
        <v>1</v>
      </c>
      <c r="AC15" s="23">
        <v>1</v>
      </c>
      <c r="AD15" s="23">
        <v>1</v>
      </c>
      <c r="AE15" s="23">
        <v>1</v>
      </c>
      <c r="AF15" s="23">
        <v>1</v>
      </c>
      <c r="AG15" s="23">
        <v>1</v>
      </c>
    </row>
    <row r="16" spans="1:33" ht="84.95" customHeight="1">
      <c r="A16" s="36"/>
      <c r="B16" s="37"/>
      <c r="C16" s="38">
        <f>(30*13-SUM(C17:AF20))/(30*13)</f>
        <v>0.5641025641025641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3" ht="85.5" customHeight="1">
      <c r="A17" s="2"/>
      <c r="B17" s="3" t="s">
        <v>121</v>
      </c>
      <c r="C17" s="2">
        <f t="shared" ref="C17:AF17" si="0">C28+C34</f>
        <v>0</v>
      </c>
      <c r="D17" s="2">
        <f t="shared" si="0"/>
        <v>0</v>
      </c>
      <c r="E17" s="4">
        <f t="shared" si="0"/>
        <v>2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4">
        <f t="shared" si="0"/>
        <v>1</v>
      </c>
      <c r="M17" s="4">
        <f t="shared" si="0"/>
        <v>2</v>
      </c>
      <c r="N17" s="4">
        <f t="shared" si="0"/>
        <v>1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1</v>
      </c>
      <c r="V17" s="4">
        <f t="shared" si="0"/>
        <v>1</v>
      </c>
      <c r="W17" s="4">
        <f t="shared" si="0"/>
        <v>1</v>
      </c>
      <c r="X17" s="4">
        <f t="shared" si="0"/>
        <v>1</v>
      </c>
      <c r="Y17" s="4">
        <f t="shared" si="0"/>
        <v>1</v>
      </c>
      <c r="Z17" s="4">
        <f t="shared" si="0"/>
        <v>1</v>
      </c>
      <c r="AA17" s="4">
        <f t="shared" si="0"/>
        <v>0</v>
      </c>
      <c r="AB17" s="4">
        <f t="shared" si="0"/>
        <v>1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ref="AG17" si="1">AG28+AG34</f>
        <v>1</v>
      </c>
    </row>
    <row r="18" spans="1:33" ht="85.5" customHeight="1">
      <c r="A18" s="2"/>
      <c r="B18" s="3" t="s">
        <v>122</v>
      </c>
      <c r="C18" s="2">
        <f t="shared" ref="C18:AF18" si="2">C26+C27+C31+C32+C33+C37</f>
        <v>3</v>
      </c>
      <c r="D18" s="2">
        <f t="shared" si="2"/>
        <v>3</v>
      </c>
      <c r="E18" s="4">
        <f t="shared" si="2"/>
        <v>2</v>
      </c>
      <c r="F18" s="4">
        <f t="shared" si="2"/>
        <v>3</v>
      </c>
      <c r="G18" s="4">
        <f t="shared" si="2"/>
        <v>3</v>
      </c>
      <c r="H18" s="4">
        <f t="shared" si="2"/>
        <v>5</v>
      </c>
      <c r="I18" s="4">
        <f t="shared" si="2"/>
        <v>3</v>
      </c>
      <c r="J18" s="4">
        <f t="shared" si="2"/>
        <v>3</v>
      </c>
      <c r="K18" s="4">
        <f t="shared" si="2"/>
        <v>2</v>
      </c>
      <c r="L18" s="4">
        <f t="shared" si="2"/>
        <v>1</v>
      </c>
      <c r="M18" s="4">
        <f t="shared" si="2"/>
        <v>0</v>
      </c>
      <c r="N18" s="4">
        <f t="shared" si="2"/>
        <v>1</v>
      </c>
      <c r="O18" s="4">
        <f t="shared" si="2"/>
        <v>1</v>
      </c>
      <c r="P18" s="4">
        <f t="shared" si="2"/>
        <v>1</v>
      </c>
      <c r="Q18" s="4">
        <f t="shared" si="2"/>
        <v>0</v>
      </c>
      <c r="R18" s="4">
        <f t="shared" si="2"/>
        <v>2</v>
      </c>
      <c r="S18" s="4">
        <f t="shared" si="2"/>
        <v>3</v>
      </c>
      <c r="T18" s="4">
        <f t="shared" si="2"/>
        <v>3</v>
      </c>
      <c r="U18" s="4">
        <f t="shared" si="2"/>
        <v>3</v>
      </c>
      <c r="V18" s="4">
        <f t="shared" si="2"/>
        <v>3</v>
      </c>
      <c r="W18" s="4">
        <f t="shared" si="2"/>
        <v>2</v>
      </c>
      <c r="X18" s="4">
        <f t="shared" si="2"/>
        <v>2</v>
      </c>
      <c r="Y18" s="4">
        <f t="shared" si="2"/>
        <v>0</v>
      </c>
      <c r="Z18" s="4">
        <f t="shared" si="2"/>
        <v>2</v>
      </c>
      <c r="AA18" s="4">
        <f t="shared" si="2"/>
        <v>2</v>
      </c>
      <c r="AB18" s="4">
        <f t="shared" si="2"/>
        <v>4</v>
      </c>
      <c r="AC18" s="4">
        <f t="shared" si="2"/>
        <v>2</v>
      </c>
      <c r="AD18" s="4">
        <f t="shared" si="2"/>
        <v>2</v>
      </c>
      <c r="AE18" s="4">
        <f t="shared" si="2"/>
        <v>2</v>
      </c>
      <c r="AF18" s="4">
        <f t="shared" si="2"/>
        <v>3</v>
      </c>
      <c r="AG18" s="4">
        <f t="shared" ref="AG18" si="3">AG26+AG27+AG31+AG32+AG33+AG37</f>
        <v>3</v>
      </c>
    </row>
    <row r="19" spans="1:33" ht="85.5" customHeight="1">
      <c r="A19" s="2"/>
      <c r="B19" s="3" t="s">
        <v>123</v>
      </c>
      <c r="C19" s="2">
        <f t="shared" ref="C19:AF19" si="4">C29+C30+C35+C36</f>
        <v>4</v>
      </c>
      <c r="D19" s="2">
        <f t="shared" si="4"/>
        <v>4</v>
      </c>
      <c r="E19" s="4">
        <f t="shared" si="4"/>
        <v>4</v>
      </c>
      <c r="F19" s="4">
        <f t="shared" si="4"/>
        <v>4</v>
      </c>
      <c r="G19" s="4">
        <f t="shared" si="4"/>
        <v>4</v>
      </c>
      <c r="H19" s="4">
        <f t="shared" si="4"/>
        <v>4</v>
      </c>
      <c r="I19" s="4">
        <f t="shared" si="4"/>
        <v>2</v>
      </c>
      <c r="J19" s="4">
        <f t="shared" si="4"/>
        <v>2</v>
      </c>
      <c r="K19" s="4">
        <f t="shared" si="4"/>
        <v>2</v>
      </c>
      <c r="L19" s="4">
        <f t="shared" si="4"/>
        <v>4</v>
      </c>
      <c r="M19" s="4">
        <f t="shared" si="4"/>
        <v>2</v>
      </c>
      <c r="N19" s="4">
        <f t="shared" si="4"/>
        <v>0</v>
      </c>
      <c r="O19" s="4">
        <f t="shared" si="4"/>
        <v>0</v>
      </c>
      <c r="P19" s="4">
        <f t="shared" si="4"/>
        <v>1</v>
      </c>
      <c r="Q19" s="4">
        <f t="shared" si="4"/>
        <v>1</v>
      </c>
      <c r="R19" s="4">
        <f t="shared" si="4"/>
        <v>2</v>
      </c>
      <c r="S19" s="4">
        <f t="shared" si="4"/>
        <v>2</v>
      </c>
      <c r="T19" s="4">
        <f t="shared" si="4"/>
        <v>3</v>
      </c>
      <c r="U19" s="4">
        <f t="shared" si="4"/>
        <v>3</v>
      </c>
      <c r="V19" s="4">
        <f t="shared" si="4"/>
        <v>3</v>
      </c>
      <c r="W19" s="4">
        <f t="shared" si="4"/>
        <v>3</v>
      </c>
      <c r="X19" s="4">
        <f t="shared" si="4"/>
        <v>2</v>
      </c>
      <c r="Y19" s="4">
        <f t="shared" si="4"/>
        <v>1</v>
      </c>
      <c r="Z19" s="4">
        <f t="shared" si="4"/>
        <v>1</v>
      </c>
      <c r="AA19" s="4">
        <f t="shared" si="4"/>
        <v>1</v>
      </c>
      <c r="AB19" s="4">
        <f t="shared" si="4"/>
        <v>2</v>
      </c>
      <c r="AC19" s="4">
        <f t="shared" si="4"/>
        <v>4</v>
      </c>
      <c r="AD19" s="4">
        <f t="shared" si="4"/>
        <v>4</v>
      </c>
      <c r="AE19" s="4">
        <f t="shared" si="4"/>
        <v>4</v>
      </c>
      <c r="AF19" s="4">
        <f t="shared" si="4"/>
        <v>4</v>
      </c>
      <c r="AG19" s="4">
        <f t="shared" ref="AG19" si="5">AG29+AG30+AG35+AG36</f>
        <v>3</v>
      </c>
    </row>
    <row r="20" spans="1:33" ht="85.5" customHeight="1">
      <c r="A20" s="2"/>
      <c r="B20" s="3" t="s">
        <v>124</v>
      </c>
      <c r="C20" s="2">
        <f t="shared" ref="C20:AF20" si="6">C38</f>
        <v>0</v>
      </c>
      <c r="D20" s="2">
        <f t="shared" si="6"/>
        <v>1</v>
      </c>
      <c r="E20" s="4">
        <f t="shared" si="6"/>
        <v>0</v>
      </c>
      <c r="F20" s="4">
        <f t="shared" si="6"/>
        <v>0</v>
      </c>
      <c r="G20" s="4">
        <f t="shared" si="6"/>
        <v>0</v>
      </c>
      <c r="H20" s="4">
        <f t="shared" si="6"/>
        <v>1</v>
      </c>
      <c r="I20" s="4">
        <f t="shared" si="6"/>
        <v>1</v>
      </c>
      <c r="J20" s="4">
        <f t="shared" si="6"/>
        <v>1</v>
      </c>
      <c r="K20" s="4">
        <f t="shared" si="6"/>
        <v>1</v>
      </c>
      <c r="L20" s="4">
        <f t="shared" si="6"/>
        <v>1</v>
      </c>
      <c r="M20" s="4">
        <f t="shared" si="6"/>
        <v>0</v>
      </c>
      <c r="N20" s="4">
        <f t="shared" si="6"/>
        <v>0</v>
      </c>
      <c r="O20" s="4">
        <f t="shared" si="6"/>
        <v>0</v>
      </c>
      <c r="P20" s="4">
        <f t="shared" si="6"/>
        <v>0</v>
      </c>
      <c r="Q20" s="4">
        <f t="shared" si="6"/>
        <v>0</v>
      </c>
      <c r="R20" s="4">
        <f t="shared" si="6"/>
        <v>0</v>
      </c>
      <c r="S20" s="4">
        <f t="shared" si="6"/>
        <v>0</v>
      </c>
      <c r="T20" s="4">
        <f t="shared" si="6"/>
        <v>0</v>
      </c>
      <c r="U20" s="4">
        <f t="shared" si="6"/>
        <v>0</v>
      </c>
      <c r="V20" s="4">
        <f t="shared" si="6"/>
        <v>1</v>
      </c>
      <c r="W20" s="4">
        <f t="shared" si="6"/>
        <v>1</v>
      </c>
      <c r="X20" s="4">
        <f t="shared" si="6"/>
        <v>0</v>
      </c>
      <c r="Y20" s="4">
        <f t="shared" si="6"/>
        <v>0</v>
      </c>
      <c r="Z20" s="4">
        <f t="shared" si="6"/>
        <v>0</v>
      </c>
      <c r="AA20" s="4">
        <f t="shared" si="6"/>
        <v>1</v>
      </c>
      <c r="AB20" s="4">
        <f t="shared" si="6"/>
        <v>1</v>
      </c>
      <c r="AC20" s="4">
        <f t="shared" si="6"/>
        <v>1</v>
      </c>
      <c r="AD20" s="4">
        <f t="shared" si="6"/>
        <v>1</v>
      </c>
      <c r="AE20" s="4">
        <f t="shared" si="6"/>
        <v>1</v>
      </c>
      <c r="AF20" s="4">
        <f t="shared" si="6"/>
        <v>1</v>
      </c>
      <c r="AG20" s="4">
        <f t="shared" ref="AG20" si="7">AG38</f>
        <v>1</v>
      </c>
    </row>
    <row r="21" spans="1:33" ht="85.5" customHeight="1">
      <c r="C21" s="41">
        <f t="shared" ref="C21:AF21" si="8">SUM(C17:C20)</f>
        <v>7</v>
      </c>
      <c r="D21" s="41">
        <f t="shared" si="8"/>
        <v>8</v>
      </c>
      <c r="E21" s="41">
        <f t="shared" si="8"/>
        <v>8</v>
      </c>
      <c r="F21" s="41">
        <f t="shared" si="8"/>
        <v>7</v>
      </c>
      <c r="G21" s="41">
        <f t="shared" si="8"/>
        <v>7</v>
      </c>
      <c r="H21" s="41">
        <f t="shared" si="8"/>
        <v>10</v>
      </c>
      <c r="I21" s="41">
        <f t="shared" si="8"/>
        <v>6</v>
      </c>
      <c r="J21" s="41">
        <f t="shared" si="8"/>
        <v>6</v>
      </c>
      <c r="K21" s="41">
        <f t="shared" si="8"/>
        <v>5</v>
      </c>
      <c r="L21" s="41">
        <f t="shared" si="8"/>
        <v>7</v>
      </c>
      <c r="M21" s="41">
        <f t="shared" si="8"/>
        <v>4</v>
      </c>
      <c r="N21" s="41">
        <f t="shared" si="8"/>
        <v>2</v>
      </c>
      <c r="O21" s="41">
        <f t="shared" si="8"/>
        <v>1</v>
      </c>
      <c r="P21" s="41">
        <f t="shared" si="8"/>
        <v>2</v>
      </c>
      <c r="Q21" s="41">
        <f t="shared" si="8"/>
        <v>1</v>
      </c>
      <c r="R21" s="41">
        <f t="shared" si="8"/>
        <v>4</v>
      </c>
      <c r="S21" s="41">
        <f t="shared" si="8"/>
        <v>5</v>
      </c>
      <c r="T21" s="41">
        <f t="shared" si="8"/>
        <v>6</v>
      </c>
      <c r="U21" s="41">
        <f t="shared" si="8"/>
        <v>7</v>
      </c>
      <c r="V21" s="41">
        <f t="shared" si="8"/>
        <v>8</v>
      </c>
      <c r="W21" s="41">
        <f t="shared" si="8"/>
        <v>7</v>
      </c>
      <c r="X21" s="41">
        <f t="shared" si="8"/>
        <v>5</v>
      </c>
      <c r="Y21" s="41">
        <f t="shared" si="8"/>
        <v>2</v>
      </c>
      <c r="Z21" s="41">
        <f t="shared" si="8"/>
        <v>4</v>
      </c>
      <c r="AA21" s="41">
        <f t="shared" si="8"/>
        <v>4</v>
      </c>
      <c r="AB21" s="41">
        <f t="shared" si="8"/>
        <v>8</v>
      </c>
      <c r="AC21" s="41">
        <f t="shared" si="8"/>
        <v>7</v>
      </c>
      <c r="AD21" s="41">
        <f t="shared" si="8"/>
        <v>7</v>
      </c>
      <c r="AE21" s="41">
        <f t="shared" si="8"/>
        <v>7</v>
      </c>
      <c r="AF21" s="41">
        <f t="shared" si="8"/>
        <v>8</v>
      </c>
      <c r="AG21" s="41">
        <f t="shared" ref="AG21" si="9">SUM(AG17:AG20)</f>
        <v>8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AF34" si="10">IF(C3=1,1,0)</f>
        <v>0</v>
      </c>
      <c r="D26" s="40">
        <f t="shared" si="10"/>
        <v>0</v>
      </c>
      <c r="E26" s="40">
        <f t="shared" si="10"/>
        <v>0</v>
      </c>
      <c r="F26" s="40">
        <f t="shared" si="10"/>
        <v>1</v>
      </c>
      <c r="G26" s="40">
        <f t="shared" si="10"/>
        <v>1</v>
      </c>
      <c r="H26" s="40">
        <f t="shared" si="10"/>
        <v>1</v>
      </c>
      <c r="I26" s="40">
        <f t="shared" si="10"/>
        <v>0</v>
      </c>
      <c r="J26" s="40">
        <f t="shared" si="10"/>
        <v>0</v>
      </c>
      <c r="K26" s="40">
        <f t="shared" si="10"/>
        <v>0</v>
      </c>
      <c r="L26" s="40">
        <f t="shared" si="10"/>
        <v>0</v>
      </c>
      <c r="M26" s="40">
        <f t="shared" si="10"/>
        <v>0</v>
      </c>
      <c r="N26" s="40">
        <f t="shared" si="10"/>
        <v>0</v>
      </c>
      <c r="O26" s="40">
        <f t="shared" si="10"/>
        <v>0</v>
      </c>
      <c r="P26" s="40">
        <f t="shared" si="10"/>
        <v>0</v>
      </c>
      <c r="Q26" s="40">
        <f t="shared" si="10"/>
        <v>0</v>
      </c>
      <c r="R26" s="40">
        <f t="shared" si="10"/>
        <v>1</v>
      </c>
      <c r="S26" s="40">
        <f t="shared" si="10"/>
        <v>1</v>
      </c>
      <c r="T26" s="40">
        <f t="shared" si="10"/>
        <v>1</v>
      </c>
      <c r="U26" s="40">
        <f t="shared" si="10"/>
        <v>1</v>
      </c>
      <c r="V26" s="40">
        <f t="shared" si="10"/>
        <v>1</v>
      </c>
      <c r="W26" s="40">
        <f t="shared" si="10"/>
        <v>1</v>
      </c>
      <c r="X26" s="40">
        <f t="shared" si="10"/>
        <v>1</v>
      </c>
      <c r="Y26" s="40">
        <f t="shared" si="10"/>
        <v>0</v>
      </c>
      <c r="Z26" s="40">
        <f t="shared" si="10"/>
        <v>0</v>
      </c>
      <c r="AA26" s="40">
        <f t="shared" si="10"/>
        <v>0</v>
      </c>
      <c r="AB26" s="40">
        <f t="shared" si="10"/>
        <v>1</v>
      </c>
      <c r="AC26" s="40">
        <f t="shared" si="10"/>
        <v>0</v>
      </c>
      <c r="AD26" s="40">
        <f t="shared" si="10"/>
        <v>0</v>
      </c>
      <c r="AE26" s="40">
        <f t="shared" si="10"/>
        <v>0</v>
      </c>
      <c r="AF26" s="40">
        <f t="shared" si="10"/>
        <v>1</v>
      </c>
      <c r="AG26" s="40">
        <f t="shared" ref="AG26:AG33" si="11">IF(AG3=1,1,0)</f>
        <v>1</v>
      </c>
    </row>
    <row r="27" spans="1:33" ht="42" customHeight="1">
      <c r="B27" s="42">
        <v>2</v>
      </c>
      <c r="C27" s="40">
        <f t="shared" si="10"/>
        <v>0</v>
      </c>
      <c r="D27" s="40">
        <f t="shared" si="10"/>
        <v>0</v>
      </c>
      <c r="E27" s="40">
        <f t="shared" si="10"/>
        <v>0</v>
      </c>
      <c r="F27" s="40">
        <f t="shared" si="10"/>
        <v>0</v>
      </c>
      <c r="G27" s="40">
        <f t="shared" si="10"/>
        <v>0</v>
      </c>
      <c r="H27" s="40">
        <f t="shared" si="10"/>
        <v>1</v>
      </c>
      <c r="I27" s="40">
        <f t="shared" si="10"/>
        <v>1</v>
      </c>
      <c r="J27" s="40">
        <f t="shared" si="10"/>
        <v>1</v>
      </c>
      <c r="K27" s="40">
        <f t="shared" si="10"/>
        <v>0</v>
      </c>
      <c r="L27" s="40">
        <f t="shared" si="10"/>
        <v>0</v>
      </c>
      <c r="M27" s="40">
        <f t="shared" si="10"/>
        <v>0</v>
      </c>
      <c r="N27" s="40">
        <f t="shared" si="10"/>
        <v>1</v>
      </c>
      <c r="O27" s="40">
        <f t="shared" si="10"/>
        <v>0</v>
      </c>
      <c r="P27" s="40">
        <f t="shared" si="10"/>
        <v>0</v>
      </c>
      <c r="Q27" s="40">
        <f t="shared" si="10"/>
        <v>0</v>
      </c>
      <c r="R27" s="40">
        <f t="shared" si="10"/>
        <v>0</v>
      </c>
      <c r="S27" s="40">
        <f t="shared" si="10"/>
        <v>1</v>
      </c>
      <c r="T27" s="40">
        <f t="shared" si="10"/>
        <v>1</v>
      </c>
      <c r="U27" s="40">
        <f t="shared" si="10"/>
        <v>1</v>
      </c>
      <c r="V27" s="40">
        <f t="shared" si="10"/>
        <v>1</v>
      </c>
      <c r="W27" s="40">
        <f t="shared" si="10"/>
        <v>1</v>
      </c>
      <c r="X27" s="40">
        <f t="shared" si="10"/>
        <v>1</v>
      </c>
      <c r="Y27" s="40">
        <f t="shared" si="10"/>
        <v>0</v>
      </c>
      <c r="Z27" s="40">
        <f t="shared" si="10"/>
        <v>0</v>
      </c>
      <c r="AA27" s="40">
        <f t="shared" si="10"/>
        <v>0</v>
      </c>
      <c r="AB27" s="40">
        <f t="shared" si="10"/>
        <v>1</v>
      </c>
      <c r="AC27" s="40">
        <f t="shared" si="10"/>
        <v>0</v>
      </c>
      <c r="AD27" s="40">
        <f t="shared" si="10"/>
        <v>0</v>
      </c>
      <c r="AE27" s="40">
        <f t="shared" si="10"/>
        <v>0</v>
      </c>
      <c r="AF27" s="40">
        <f t="shared" si="10"/>
        <v>0</v>
      </c>
      <c r="AG27" s="40">
        <f t="shared" si="11"/>
        <v>0</v>
      </c>
    </row>
    <row r="28" spans="1:33" ht="42" customHeight="1">
      <c r="B28" s="43">
        <v>3</v>
      </c>
      <c r="C28" s="40">
        <f t="shared" si="10"/>
        <v>0</v>
      </c>
      <c r="D28" s="40">
        <f t="shared" si="10"/>
        <v>0</v>
      </c>
      <c r="E28" s="40">
        <f t="shared" si="10"/>
        <v>1</v>
      </c>
      <c r="F28" s="40">
        <f t="shared" si="10"/>
        <v>0</v>
      </c>
      <c r="G28" s="40">
        <f t="shared" si="10"/>
        <v>0</v>
      </c>
      <c r="H28" s="40">
        <f t="shared" si="10"/>
        <v>0</v>
      </c>
      <c r="I28" s="40">
        <f t="shared" si="10"/>
        <v>0</v>
      </c>
      <c r="J28" s="40">
        <f t="shared" si="10"/>
        <v>0</v>
      </c>
      <c r="K28" s="40">
        <f t="shared" si="10"/>
        <v>0</v>
      </c>
      <c r="L28" s="40">
        <f t="shared" si="10"/>
        <v>1</v>
      </c>
      <c r="M28" s="40">
        <f t="shared" si="10"/>
        <v>1</v>
      </c>
      <c r="N28" s="40">
        <f t="shared" si="10"/>
        <v>1</v>
      </c>
      <c r="O28" s="40">
        <f t="shared" si="10"/>
        <v>0</v>
      </c>
      <c r="P28" s="40">
        <f t="shared" si="10"/>
        <v>0</v>
      </c>
      <c r="Q28" s="40">
        <f t="shared" si="10"/>
        <v>0</v>
      </c>
      <c r="R28" s="40">
        <f t="shared" si="10"/>
        <v>0</v>
      </c>
      <c r="S28" s="40">
        <f t="shared" si="10"/>
        <v>0</v>
      </c>
      <c r="T28" s="40">
        <f t="shared" si="10"/>
        <v>0</v>
      </c>
      <c r="U28" s="40">
        <f t="shared" si="10"/>
        <v>0</v>
      </c>
      <c r="V28" s="40">
        <f t="shared" si="10"/>
        <v>0</v>
      </c>
      <c r="W28" s="40">
        <f t="shared" si="10"/>
        <v>0</v>
      </c>
      <c r="X28" s="40">
        <f t="shared" si="10"/>
        <v>0</v>
      </c>
      <c r="Y28" s="40">
        <f t="shared" si="10"/>
        <v>0</v>
      </c>
      <c r="Z28" s="40">
        <f t="shared" si="10"/>
        <v>0</v>
      </c>
      <c r="AA28" s="40">
        <f t="shared" si="10"/>
        <v>0</v>
      </c>
      <c r="AB28" s="40">
        <f t="shared" si="10"/>
        <v>1</v>
      </c>
      <c r="AC28" s="40">
        <f t="shared" si="10"/>
        <v>0</v>
      </c>
      <c r="AD28" s="40">
        <f t="shared" si="10"/>
        <v>0</v>
      </c>
      <c r="AE28" s="40">
        <f t="shared" si="10"/>
        <v>0</v>
      </c>
      <c r="AF28" s="40">
        <f t="shared" si="10"/>
        <v>0</v>
      </c>
      <c r="AG28" s="40">
        <f t="shared" si="11"/>
        <v>0</v>
      </c>
    </row>
    <row r="29" spans="1:33" ht="42" customHeight="1">
      <c r="B29" s="44">
        <v>4</v>
      </c>
      <c r="C29" s="40">
        <f t="shared" si="10"/>
        <v>1</v>
      </c>
      <c r="D29" s="40">
        <f t="shared" si="10"/>
        <v>1</v>
      </c>
      <c r="E29" s="40">
        <f t="shared" si="10"/>
        <v>1</v>
      </c>
      <c r="F29" s="40">
        <f t="shared" si="10"/>
        <v>1</v>
      </c>
      <c r="G29" s="40">
        <f t="shared" si="10"/>
        <v>1</v>
      </c>
      <c r="H29" s="40">
        <f t="shared" si="10"/>
        <v>1</v>
      </c>
      <c r="I29" s="40">
        <f t="shared" si="10"/>
        <v>1</v>
      </c>
      <c r="J29" s="40">
        <f t="shared" si="10"/>
        <v>1</v>
      </c>
      <c r="K29" s="40">
        <f t="shared" si="10"/>
        <v>1</v>
      </c>
      <c r="L29" s="40">
        <f t="shared" si="10"/>
        <v>1</v>
      </c>
      <c r="M29" s="40">
        <f t="shared" si="10"/>
        <v>1</v>
      </c>
      <c r="N29" s="40">
        <f t="shared" si="10"/>
        <v>0</v>
      </c>
      <c r="O29" s="40">
        <f t="shared" si="10"/>
        <v>0</v>
      </c>
      <c r="P29" s="40">
        <f t="shared" si="10"/>
        <v>0</v>
      </c>
      <c r="Q29" s="40">
        <f t="shared" si="10"/>
        <v>0</v>
      </c>
      <c r="R29" s="40">
        <f t="shared" si="10"/>
        <v>1</v>
      </c>
      <c r="S29" s="40">
        <f t="shared" si="10"/>
        <v>1</v>
      </c>
      <c r="T29" s="40">
        <f t="shared" si="10"/>
        <v>1</v>
      </c>
      <c r="U29" s="40">
        <f t="shared" si="10"/>
        <v>1</v>
      </c>
      <c r="V29" s="40">
        <f t="shared" si="10"/>
        <v>1</v>
      </c>
      <c r="W29" s="40">
        <f t="shared" si="10"/>
        <v>1</v>
      </c>
      <c r="X29" s="40">
        <f t="shared" si="10"/>
        <v>0</v>
      </c>
      <c r="Y29" s="40">
        <f t="shared" si="10"/>
        <v>0</v>
      </c>
      <c r="Z29" s="40">
        <f t="shared" si="10"/>
        <v>0</v>
      </c>
      <c r="AA29" s="40">
        <f t="shared" si="10"/>
        <v>0</v>
      </c>
      <c r="AB29" s="40">
        <f t="shared" si="10"/>
        <v>0</v>
      </c>
      <c r="AC29" s="40">
        <f t="shared" si="10"/>
        <v>1</v>
      </c>
      <c r="AD29" s="40">
        <f t="shared" si="10"/>
        <v>1</v>
      </c>
      <c r="AE29" s="40">
        <f t="shared" si="10"/>
        <v>1</v>
      </c>
      <c r="AF29" s="40">
        <f t="shared" si="10"/>
        <v>1</v>
      </c>
      <c r="AG29" s="40">
        <f t="shared" si="11"/>
        <v>1</v>
      </c>
    </row>
    <row r="30" spans="1:33" ht="42" customHeight="1">
      <c r="B30" s="44">
        <v>5</v>
      </c>
      <c r="C30" s="40">
        <f t="shared" si="10"/>
        <v>1</v>
      </c>
      <c r="D30" s="40">
        <f t="shared" si="10"/>
        <v>1</v>
      </c>
      <c r="E30" s="40">
        <f t="shared" si="10"/>
        <v>1</v>
      </c>
      <c r="F30" s="40">
        <f t="shared" si="10"/>
        <v>1</v>
      </c>
      <c r="G30" s="40">
        <f t="shared" si="10"/>
        <v>1</v>
      </c>
      <c r="H30" s="40">
        <f t="shared" si="10"/>
        <v>1</v>
      </c>
      <c r="I30" s="40">
        <f t="shared" si="10"/>
        <v>1</v>
      </c>
      <c r="J30" s="40">
        <f t="shared" si="10"/>
        <v>1</v>
      </c>
      <c r="K30" s="40">
        <f t="shared" si="10"/>
        <v>1</v>
      </c>
      <c r="L30" s="40">
        <f t="shared" si="10"/>
        <v>1</v>
      </c>
      <c r="M30" s="40">
        <f t="shared" si="10"/>
        <v>1</v>
      </c>
      <c r="N30" s="40">
        <f t="shared" si="10"/>
        <v>0</v>
      </c>
      <c r="O30" s="40">
        <f t="shared" si="10"/>
        <v>0</v>
      </c>
      <c r="P30" s="40">
        <f t="shared" si="10"/>
        <v>0</v>
      </c>
      <c r="Q30" s="40">
        <f t="shared" si="10"/>
        <v>0</v>
      </c>
      <c r="R30" s="40">
        <f t="shared" si="10"/>
        <v>0</v>
      </c>
      <c r="S30" s="40">
        <f t="shared" si="10"/>
        <v>0</v>
      </c>
      <c r="T30" s="40">
        <f t="shared" si="10"/>
        <v>1</v>
      </c>
      <c r="U30" s="40">
        <f t="shared" si="10"/>
        <v>1</v>
      </c>
      <c r="V30" s="40">
        <f t="shared" si="10"/>
        <v>1</v>
      </c>
      <c r="W30" s="40">
        <f t="shared" si="10"/>
        <v>1</v>
      </c>
      <c r="X30" s="40">
        <f t="shared" si="10"/>
        <v>1</v>
      </c>
      <c r="Y30" s="40">
        <f t="shared" si="10"/>
        <v>0</v>
      </c>
      <c r="Z30" s="40">
        <f t="shared" si="10"/>
        <v>0</v>
      </c>
      <c r="AA30" s="40">
        <f t="shared" si="10"/>
        <v>0</v>
      </c>
      <c r="AB30" s="40">
        <f t="shared" si="10"/>
        <v>1</v>
      </c>
      <c r="AC30" s="40">
        <f t="shared" si="10"/>
        <v>1</v>
      </c>
      <c r="AD30" s="40">
        <f t="shared" si="10"/>
        <v>1</v>
      </c>
      <c r="AE30" s="40">
        <f t="shared" si="10"/>
        <v>1</v>
      </c>
      <c r="AF30" s="40">
        <f t="shared" si="10"/>
        <v>1</v>
      </c>
      <c r="AG30" s="40">
        <f t="shared" si="11"/>
        <v>0</v>
      </c>
    </row>
    <row r="31" spans="1:33" ht="42" customHeight="1">
      <c r="B31" s="42">
        <v>6</v>
      </c>
      <c r="C31" s="40">
        <f t="shared" si="10"/>
        <v>1</v>
      </c>
      <c r="D31" s="40">
        <f t="shared" si="10"/>
        <v>1</v>
      </c>
      <c r="E31" s="40">
        <f t="shared" si="10"/>
        <v>0</v>
      </c>
      <c r="F31" s="40">
        <f t="shared" si="10"/>
        <v>0</v>
      </c>
      <c r="G31" s="40">
        <f t="shared" si="10"/>
        <v>0</v>
      </c>
      <c r="H31" s="40">
        <f t="shared" si="10"/>
        <v>0</v>
      </c>
      <c r="I31" s="40">
        <f t="shared" si="10"/>
        <v>0</v>
      </c>
      <c r="J31" s="40">
        <f t="shared" si="10"/>
        <v>0</v>
      </c>
      <c r="K31" s="40">
        <f t="shared" si="10"/>
        <v>0</v>
      </c>
      <c r="L31" s="40">
        <f t="shared" si="10"/>
        <v>0</v>
      </c>
      <c r="M31" s="40">
        <f t="shared" si="10"/>
        <v>0</v>
      </c>
      <c r="N31" s="40">
        <f t="shared" si="10"/>
        <v>0</v>
      </c>
      <c r="O31" s="40">
        <f t="shared" si="10"/>
        <v>0</v>
      </c>
      <c r="P31" s="40">
        <f t="shared" si="10"/>
        <v>0</v>
      </c>
      <c r="Q31" s="40">
        <f t="shared" si="10"/>
        <v>0</v>
      </c>
      <c r="R31" s="40">
        <f t="shared" si="10"/>
        <v>1</v>
      </c>
      <c r="S31" s="40">
        <f t="shared" si="10"/>
        <v>1</v>
      </c>
      <c r="T31" s="40">
        <f t="shared" si="10"/>
        <v>1</v>
      </c>
      <c r="U31" s="40">
        <f t="shared" si="10"/>
        <v>1</v>
      </c>
      <c r="V31" s="40">
        <f t="shared" si="10"/>
        <v>1</v>
      </c>
      <c r="W31" s="40">
        <f t="shared" si="10"/>
        <v>0</v>
      </c>
      <c r="X31" s="40">
        <f t="shared" si="10"/>
        <v>0</v>
      </c>
      <c r="Y31" s="40">
        <f t="shared" si="10"/>
        <v>0</v>
      </c>
      <c r="Z31" s="40">
        <f t="shared" si="10"/>
        <v>1</v>
      </c>
      <c r="AA31" s="40">
        <f t="shared" si="10"/>
        <v>1</v>
      </c>
      <c r="AB31" s="40">
        <f t="shared" si="10"/>
        <v>1</v>
      </c>
      <c r="AC31" s="40">
        <f t="shared" si="10"/>
        <v>0</v>
      </c>
      <c r="AD31" s="40">
        <f t="shared" si="10"/>
        <v>0</v>
      </c>
      <c r="AE31" s="40">
        <f t="shared" si="10"/>
        <v>0</v>
      </c>
      <c r="AF31" s="40">
        <f t="shared" si="10"/>
        <v>1</v>
      </c>
      <c r="AG31" s="40">
        <f t="shared" si="11"/>
        <v>0</v>
      </c>
    </row>
    <row r="32" spans="1:33" ht="42" customHeight="1">
      <c r="B32" s="42">
        <v>7</v>
      </c>
      <c r="C32" s="40">
        <f t="shared" si="10"/>
        <v>0</v>
      </c>
      <c r="D32" s="40">
        <f t="shared" si="10"/>
        <v>0</v>
      </c>
      <c r="E32" s="40">
        <f t="shared" si="10"/>
        <v>0</v>
      </c>
      <c r="F32" s="40">
        <f t="shared" si="10"/>
        <v>0</v>
      </c>
      <c r="G32" s="40">
        <f t="shared" si="10"/>
        <v>0</v>
      </c>
      <c r="H32" s="40">
        <f t="shared" si="10"/>
        <v>1</v>
      </c>
      <c r="I32" s="40">
        <f t="shared" si="10"/>
        <v>1</v>
      </c>
      <c r="J32" s="40">
        <f t="shared" si="10"/>
        <v>1</v>
      </c>
      <c r="K32" s="40">
        <f t="shared" si="10"/>
        <v>1</v>
      </c>
      <c r="L32" s="40">
        <f t="shared" si="10"/>
        <v>0</v>
      </c>
      <c r="M32" s="40">
        <f t="shared" si="10"/>
        <v>0</v>
      </c>
      <c r="N32" s="40">
        <f t="shared" si="10"/>
        <v>0</v>
      </c>
      <c r="O32" s="40">
        <f t="shared" si="10"/>
        <v>1</v>
      </c>
      <c r="P32" s="40">
        <f t="shared" si="10"/>
        <v>0</v>
      </c>
      <c r="Q32" s="40">
        <f t="shared" si="10"/>
        <v>0</v>
      </c>
      <c r="R32" s="40">
        <f t="shared" si="10"/>
        <v>0</v>
      </c>
      <c r="S32" s="40">
        <f t="shared" si="10"/>
        <v>0</v>
      </c>
      <c r="T32" s="40">
        <f t="shared" si="10"/>
        <v>0</v>
      </c>
      <c r="U32" s="40">
        <f t="shared" si="10"/>
        <v>0</v>
      </c>
      <c r="V32" s="40">
        <f t="shared" si="10"/>
        <v>0</v>
      </c>
      <c r="W32" s="40">
        <f t="shared" si="10"/>
        <v>0</v>
      </c>
      <c r="X32" s="40">
        <f t="shared" si="10"/>
        <v>0</v>
      </c>
      <c r="Y32" s="40">
        <f t="shared" si="10"/>
        <v>0</v>
      </c>
      <c r="Z32" s="40">
        <f t="shared" si="10"/>
        <v>0</v>
      </c>
      <c r="AA32" s="40">
        <f t="shared" si="10"/>
        <v>0</v>
      </c>
      <c r="AB32" s="40">
        <f t="shared" si="10"/>
        <v>0</v>
      </c>
      <c r="AC32" s="40">
        <f t="shared" si="10"/>
        <v>0</v>
      </c>
      <c r="AD32" s="40">
        <f t="shared" si="10"/>
        <v>0</v>
      </c>
      <c r="AE32" s="40">
        <f t="shared" si="10"/>
        <v>0</v>
      </c>
      <c r="AF32" s="40">
        <f t="shared" si="10"/>
        <v>0</v>
      </c>
      <c r="AG32" s="40">
        <f t="shared" si="11"/>
        <v>1</v>
      </c>
    </row>
    <row r="33" spans="2:33" ht="42" customHeight="1">
      <c r="B33" s="42">
        <v>8</v>
      </c>
      <c r="C33" s="40">
        <f t="shared" si="10"/>
        <v>1</v>
      </c>
      <c r="D33" s="40">
        <f t="shared" si="10"/>
        <v>1</v>
      </c>
      <c r="E33" s="40">
        <f t="shared" si="10"/>
        <v>1</v>
      </c>
      <c r="F33" s="40">
        <f t="shared" si="10"/>
        <v>1</v>
      </c>
      <c r="G33" s="40">
        <f t="shared" si="10"/>
        <v>1</v>
      </c>
      <c r="H33" s="40">
        <f t="shared" si="10"/>
        <v>1</v>
      </c>
      <c r="I33" s="40">
        <f t="shared" si="10"/>
        <v>0</v>
      </c>
      <c r="J33" s="40">
        <f t="shared" si="10"/>
        <v>0</v>
      </c>
      <c r="K33" s="40">
        <f t="shared" si="10"/>
        <v>0</v>
      </c>
      <c r="L33" s="40">
        <f t="shared" si="10"/>
        <v>0</v>
      </c>
      <c r="M33" s="40">
        <f t="shared" si="10"/>
        <v>0</v>
      </c>
      <c r="N33" s="40">
        <f t="shared" si="10"/>
        <v>0</v>
      </c>
      <c r="O33" s="40">
        <f t="shared" si="10"/>
        <v>0</v>
      </c>
      <c r="P33" s="40">
        <f t="shared" si="10"/>
        <v>1</v>
      </c>
      <c r="Q33" s="40">
        <f t="shared" si="10"/>
        <v>0</v>
      </c>
      <c r="R33" s="40">
        <f t="shared" si="10"/>
        <v>0</v>
      </c>
      <c r="S33" s="40">
        <f t="shared" si="10"/>
        <v>0</v>
      </c>
      <c r="T33" s="40">
        <f t="shared" si="10"/>
        <v>0</v>
      </c>
      <c r="U33" s="40">
        <f t="shared" si="10"/>
        <v>0</v>
      </c>
      <c r="V33" s="40">
        <f t="shared" si="10"/>
        <v>0</v>
      </c>
      <c r="W33" s="40">
        <f t="shared" si="10"/>
        <v>0</v>
      </c>
      <c r="X33" s="40">
        <f t="shared" si="10"/>
        <v>0</v>
      </c>
      <c r="Y33" s="40">
        <f t="shared" si="10"/>
        <v>0</v>
      </c>
      <c r="Z33" s="40">
        <f t="shared" si="10"/>
        <v>1</v>
      </c>
      <c r="AA33" s="40">
        <f t="shared" si="10"/>
        <v>1</v>
      </c>
      <c r="AB33" s="40">
        <f t="shared" si="10"/>
        <v>1</v>
      </c>
      <c r="AC33" s="40">
        <f t="shared" si="10"/>
        <v>1</v>
      </c>
      <c r="AD33" s="40">
        <f t="shared" si="10"/>
        <v>1</v>
      </c>
      <c r="AE33" s="40">
        <f t="shared" si="10"/>
        <v>1</v>
      </c>
      <c r="AF33" s="40">
        <f t="shared" si="10"/>
        <v>1</v>
      </c>
      <c r="AG33" s="40">
        <f t="shared" si="11"/>
        <v>1</v>
      </c>
    </row>
    <row r="34" spans="2:33" ht="42" customHeight="1">
      <c r="B34" s="43">
        <v>9</v>
      </c>
      <c r="C34" s="40">
        <f t="shared" si="10"/>
        <v>0</v>
      </c>
      <c r="D34" s="40">
        <f t="shared" si="10"/>
        <v>0</v>
      </c>
      <c r="E34" s="40">
        <f t="shared" si="10"/>
        <v>1</v>
      </c>
      <c r="F34" s="40">
        <f t="shared" si="10"/>
        <v>0</v>
      </c>
      <c r="G34" s="40">
        <f t="shared" si="10"/>
        <v>0</v>
      </c>
      <c r="H34" s="40">
        <f t="shared" si="10"/>
        <v>0</v>
      </c>
      <c r="I34" s="40">
        <f t="shared" si="10"/>
        <v>0</v>
      </c>
      <c r="J34" s="40">
        <f t="shared" si="10"/>
        <v>0</v>
      </c>
      <c r="K34" s="40">
        <f t="shared" si="10"/>
        <v>0</v>
      </c>
      <c r="L34" s="40">
        <f t="shared" si="10"/>
        <v>0</v>
      </c>
      <c r="M34" s="40">
        <f t="shared" si="10"/>
        <v>1</v>
      </c>
      <c r="N34" s="40">
        <f t="shared" si="10"/>
        <v>0</v>
      </c>
      <c r="O34" s="40">
        <f t="shared" si="10"/>
        <v>0</v>
      </c>
      <c r="P34" s="40">
        <f t="shared" si="10"/>
        <v>0</v>
      </c>
      <c r="Q34" s="40">
        <f t="shared" si="10"/>
        <v>0</v>
      </c>
      <c r="R34" s="40">
        <f t="shared" ref="R34:AF34" si="12">IF(R11=1,1,0)</f>
        <v>0</v>
      </c>
      <c r="S34" s="40">
        <f t="shared" si="12"/>
        <v>0</v>
      </c>
      <c r="T34" s="40">
        <f t="shared" si="12"/>
        <v>0</v>
      </c>
      <c r="U34" s="40">
        <f t="shared" si="12"/>
        <v>1</v>
      </c>
      <c r="V34" s="40">
        <f t="shared" si="12"/>
        <v>1</v>
      </c>
      <c r="W34" s="40">
        <f t="shared" si="12"/>
        <v>1</v>
      </c>
      <c r="X34" s="40">
        <f t="shared" si="12"/>
        <v>1</v>
      </c>
      <c r="Y34" s="40">
        <f t="shared" si="12"/>
        <v>1</v>
      </c>
      <c r="Z34" s="40">
        <f t="shared" si="12"/>
        <v>1</v>
      </c>
      <c r="AA34" s="40">
        <f t="shared" si="12"/>
        <v>0</v>
      </c>
      <c r="AB34" s="40">
        <f t="shared" si="12"/>
        <v>0</v>
      </c>
      <c r="AC34" s="40">
        <f t="shared" si="12"/>
        <v>0</v>
      </c>
      <c r="AD34" s="40">
        <f t="shared" si="12"/>
        <v>0</v>
      </c>
      <c r="AE34" s="40">
        <f t="shared" si="12"/>
        <v>0</v>
      </c>
      <c r="AF34" s="40">
        <f t="shared" si="12"/>
        <v>0</v>
      </c>
      <c r="AG34" s="40">
        <f t="shared" ref="AG34" si="13">IF(AG11=1,1,0)</f>
        <v>1</v>
      </c>
    </row>
    <row r="35" spans="2:33" ht="42" customHeight="1">
      <c r="B35" s="44">
        <v>10</v>
      </c>
      <c r="C35" s="40">
        <f t="shared" ref="C35:AF38" si="14">IF(C12=1,1,0)</f>
        <v>1</v>
      </c>
      <c r="D35" s="40">
        <f t="shared" si="14"/>
        <v>1</v>
      </c>
      <c r="E35" s="40">
        <f t="shared" si="14"/>
        <v>1</v>
      </c>
      <c r="F35" s="40">
        <f t="shared" si="14"/>
        <v>1</v>
      </c>
      <c r="G35" s="40">
        <f t="shared" si="14"/>
        <v>1</v>
      </c>
      <c r="H35" s="40">
        <f t="shared" si="14"/>
        <v>1</v>
      </c>
      <c r="I35" s="40">
        <f t="shared" si="14"/>
        <v>0</v>
      </c>
      <c r="J35" s="40">
        <f t="shared" si="14"/>
        <v>0</v>
      </c>
      <c r="K35" s="40">
        <f t="shared" si="14"/>
        <v>0</v>
      </c>
      <c r="L35" s="40">
        <f t="shared" si="14"/>
        <v>1</v>
      </c>
      <c r="M35" s="40">
        <f t="shared" si="14"/>
        <v>0</v>
      </c>
      <c r="N35" s="40">
        <f t="shared" si="14"/>
        <v>0</v>
      </c>
      <c r="O35" s="40">
        <f t="shared" si="14"/>
        <v>0</v>
      </c>
      <c r="P35" s="40">
        <f t="shared" si="14"/>
        <v>1</v>
      </c>
      <c r="Q35" s="40">
        <f t="shared" si="14"/>
        <v>1</v>
      </c>
      <c r="R35" s="40">
        <f t="shared" si="14"/>
        <v>1</v>
      </c>
      <c r="S35" s="40">
        <f t="shared" si="14"/>
        <v>1</v>
      </c>
      <c r="T35" s="40">
        <f t="shared" si="14"/>
        <v>1</v>
      </c>
      <c r="U35" s="40">
        <f t="shared" si="14"/>
        <v>1</v>
      </c>
      <c r="V35" s="40">
        <f t="shared" si="14"/>
        <v>1</v>
      </c>
      <c r="W35" s="40">
        <f t="shared" si="14"/>
        <v>1</v>
      </c>
      <c r="X35" s="40">
        <f t="shared" si="14"/>
        <v>1</v>
      </c>
      <c r="Y35" s="40">
        <f t="shared" si="14"/>
        <v>1</v>
      </c>
      <c r="Z35" s="40">
        <f t="shared" si="14"/>
        <v>1</v>
      </c>
      <c r="AA35" s="40">
        <f t="shared" si="14"/>
        <v>1</v>
      </c>
      <c r="AB35" s="40">
        <f t="shared" si="14"/>
        <v>1</v>
      </c>
      <c r="AC35" s="40">
        <f t="shared" si="14"/>
        <v>1</v>
      </c>
      <c r="AD35" s="40">
        <f t="shared" si="14"/>
        <v>1</v>
      </c>
      <c r="AE35" s="40">
        <f t="shared" si="14"/>
        <v>1</v>
      </c>
      <c r="AF35" s="40">
        <f t="shared" si="14"/>
        <v>1</v>
      </c>
      <c r="AG35" s="40">
        <f t="shared" ref="AG35" si="15">IF(AG12=1,1,0)</f>
        <v>1</v>
      </c>
    </row>
    <row r="36" spans="2:33" ht="42" customHeight="1">
      <c r="B36" s="44">
        <v>11</v>
      </c>
      <c r="C36" s="40">
        <f t="shared" si="14"/>
        <v>1</v>
      </c>
      <c r="D36" s="40">
        <f t="shared" si="14"/>
        <v>1</v>
      </c>
      <c r="E36" s="40">
        <f t="shared" si="14"/>
        <v>1</v>
      </c>
      <c r="F36" s="40">
        <f t="shared" si="14"/>
        <v>1</v>
      </c>
      <c r="G36" s="40">
        <f t="shared" si="14"/>
        <v>1</v>
      </c>
      <c r="H36" s="40">
        <f t="shared" si="14"/>
        <v>1</v>
      </c>
      <c r="I36" s="40">
        <f t="shared" si="14"/>
        <v>0</v>
      </c>
      <c r="J36" s="40">
        <f t="shared" si="14"/>
        <v>0</v>
      </c>
      <c r="K36" s="40">
        <f t="shared" si="14"/>
        <v>0</v>
      </c>
      <c r="L36" s="40">
        <f t="shared" si="14"/>
        <v>1</v>
      </c>
      <c r="M36" s="40">
        <f t="shared" si="14"/>
        <v>0</v>
      </c>
      <c r="N36" s="40">
        <f t="shared" si="14"/>
        <v>0</v>
      </c>
      <c r="O36" s="40">
        <f t="shared" si="14"/>
        <v>0</v>
      </c>
      <c r="P36" s="40">
        <f t="shared" si="14"/>
        <v>0</v>
      </c>
      <c r="Q36" s="40">
        <f t="shared" si="14"/>
        <v>0</v>
      </c>
      <c r="R36" s="40">
        <f t="shared" si="14"/>
        <v>0</v>
      </c>
      <c r="S36" s="40">
        <f t="shared" si="14"/>
        <v>0</v>
      </c>
      <c r="T36" s="40">
        <f t="shared" si="14"/>
        <v>0</v>
      </c>
      <c r="U36" s="40">
        <f t="shared" si="14"/>
        <v>0</v>
      </c>
      <c r="V36" s="40">
        <f t="shared" si="14"/>
        <v>0</v>
      </c>
      <c r="W36" s="40">
        <f t="shared" si="14"/>
        <v>0</v>
      </c>
      <c r="X36" s="40">
        <f t="shared" si="14"/>
        <v>0</v>
      </c>
      <c r="Y36" s="40">
        <f t="shared" si="14"/>
        <v>0</v>
      </c>
      <c r="Z36" s="40">
        <f t="shared" si="14"/>
        <v>0</v>
      </c>
      <c r="AA36" s="40">
        <f t="shared" si="14"/>
        <v>0</v>
      </c>
      <c r="AB36" s="40">
        <f t="shared" si="14"/>
        <v>0</v>
      </c>
      <c r="AC36" s="40">
        <f t="shared" si="14"/>
        <v>1</v>
      </c>
      <c r="AD36" s="40">
        <f t="shared" si="14"/>
        <v>1</v>
      </c>
      <c r="AE36" s="40">
        <f t="shared" si="14"/>
        <v>1</v>
      </c>
      <c r="AF36" s="40">
        <f t="shared" si="14"/>
        <v>1</v>
      </c>
      <c r="AG36" s="40">
        <f t="shared" ref="AG36" si="16">IF(AG13=1,1,0)</f>
        <v>1</v>
      </c>
    </row>
    <row r="37" spans="2:33" ht="42" customHeight="1">
      <c r="B37" s="42">
        <v>12</v>
      </c>
      <c r="C37" s="40">
        <f t="shared" si="14"/>
        <v>1</v>
      </c>
      <c r="D37" s="40">
        <f t="shared" si="14"/>
        <v>1</v>
      </c>
      <c r="E37" s="40">
        <f t="shared" si="14"/>
        <v>1</v>
      </c>
      <c r="F37" s="40">
        <f t="shared" si="14"/>
        <v>1</v>
      </c>
      <c r="G37" s="40">
        <f t="shared" si="14"/>
        <v>1</v>
      </c>
      <c r="H37" s="40">
        <f t="shared" si="14"/>
        <v>1</v>
      </c>
      <c r="I37" s="40">
        <f t="shared" si="14"/>
        <v>1</v>
      </c>
      <c r="J37" s="40">
        <f t="shared" si="14"/>
        <v>1</v>
      </c>
      <c r="K37" s="40">
        <f t="shared" si="14"/>
        <v>1</v>
      </c>
      <c r="L37" s="40">
        <f t="shared" si="14"/>
        <v>1</v>
      </c>
      <c r="M37" s="40">
        <f t="shared" si="14"/>
        <v>0</v>
      </c>
      <c r="N37" s="40">
        <f t="shared" si="14"/>
        <v>0</v>
      </c>
      <c r="O37" s="40">
        <f t="shared" si="14"/>
        <v>0</v>
      </c>
      <c r="P37" s="40">
        <f t="shared" si="14"/>
        <v>0</v>
      </c>
      <c r="Q37" s="40">
        <f t="shared" si="14"/>
        <v>0</v>
      </c>
      <c r="R37" s="40">
        <f t="shared" si="14"/>
        <v>0</v>
      </c>
      <c r="S37" s="40">
        <f t="shared" si="14"/>
        <v>0</v>
      </c>
      <c r="T37" s="40">
        <f t="shared" si="14"/>
        <v>0</v>
      </c>
      <c r="U37" s="40">
        <f t="shared" si="14"/>
        <v>0</v>
      </c>
      <c r="V37" s="40">
        <f t="shared" si="14"/>
        <v>0</v>
      </c>
      <c r="W37" s="40">
        <f t="shared" si="14"/>
        <v>0</v>
      </c>
      <c r="X37" s="40">
        <f t="shared" si="14"/>
        <v>0</v>
      </c>
      <c r="Y37" s="40">
        <f t="shared" si="14"/>
        <v>0</v>
      </c>
      <c r="Z37" s="40">
        <f t="shared" si="14"/>
        <v>0</v>
      </c>
      <c r="AA37" s="40">
        <f t="shared" si="14"/>
        <v>0</v>
      </c>
      <c r="AB37" s="40">
        <f t="shared" si="14"/>
        <v>0</v>
      </c>
      <c r="AC37" s="40">
        <f t="shared" si="14"/>
        <v>1</v>
      </c>
      <c r="AD37" s="40">
        <f t="shared" si="14"/>
        <v>1</v>
      </c>
      <c r="AE37" s="40">
        <f t="shared" si="14"/>
        <v>1</v>
      </c>
      <c r="AF37" s="40">
        <f t="shared" si="14"/>
        <v>0</v>
      </c>
      <c r="AG37" s="40">
        <f t="shared" ref="AG37" si="17">IF(AG14=1,1,0)</f>
        <v>0</v>
      </c>
    </row>
    <row r="38" spans="2:33" ht="42" customHeight="1">
      <c r="B38" s="45" t="s">
        <v>111</v>
      </c>
      <c r="C38" s="40">
        <f t="shared" si="14"/>
        <v>0</v>
      </c>
      <c r="D38" s="40">
        <f t="shared" si="14"/>
        <v>1</v>
      </c>
      <c r="E38" s="40">
        <f t="shared" si="14"/>
        <v>0</v>
      </c>
      <c r="F38" s="40">
        <f t="shared" si="14"/>
        <v>0</v>
      </c>
      <c r="G38" s="40">
        <f t="shared" si="14"/>
        <v>0</v>
      </c>
      <c r="H38" s="40">
        <f t="shared" si="14"/>
        <v>1</v>
      </c>
      <c r="I38" s="40">
        <f t="shared" si="14"/>
        <v>1</v>
      </c>
      <c r="J38" s="40">
        <f t="shared" si="14"/>
        <v>1</v>
      </c>
      <c r="K38" s="40">
        <f t="shared" si="14"/>
        <v>1</v>
      </c>
      <c r="L38" s="40">
        <f t="shared" si="14"/>
        <v>1</v>
      </c>
      <c r="M38" s="40">
        <f t="shared" si="14"/>
        <v>0</v>
      </c>
      <c r="N38" s="40">
        <f t="shared" si="14"/>
        <v>0</v>
      </c>
      <c r="O38" s="40">
        <f t="shared" si="14"/>
        <v>0</v>
      </c>
      <c r="P38" s="40">
        <f t="shared" si="14"/>
        <v>0</v>
      </c>
      <c r="Q38" s="40">
        <f t="shared" si="14"/>
        <v>0</v>
      </c>
      <c r="R38" s="40">
        <f t="shared" si="14"/>
        <v>0</v>
      </c>
      <c r="S38" s="40">
        <f t="shared" si="14"/>
        <v>0</v>
      </c>
      <c r="T38" s="40">
        <f t="shared" si="14"/>
        <v>0</v>
      </c>
      <c r="U38" s="40">
        <f t="shared" si="14"/>
        <v>0</v>
      </c>
      <c r="V38" s="40">
        <f t="shared" si="14"/>
        <v>1</v>
      </c>
      <c r="W38" s="40">
        <f t="shared" si="14"/>
        <v>1</v>
      </c>
      <c r="X38" s="40">
        <f t="shared" si="14"/>
        <v>0</v>
      </c>
      <c r="Y38" s="40">
        <f t="shared" si="14"/>
        <v>0</v>
      </c>
      <c r="Z38" s="40">
        <f t="shared" si="14"/>
        <v>0</v>
      </c>
      <c r="AA38" s="40">
        <f t="shared" si="14"/>
        <v>1</v>
      </c>
      <c r="AB38" s="40">
        <f t="shared" si="14"/>
        <v>1</v>
      </c>
      <c r="AC38" s="40">
        <f t="shared" si="14"/>
        <v>1</v>
      </c>
      <c r="AD38" s="40">
        <f t="shared" si="14"/>
        <v>1</v>
      </c>
      <c r="AE38" s="40">
        <f t="shared" si="14"/>
        <v>1</v>
      </c>
      <c r="AF38" s="40">
        <f t="shared" si="14"/>
        <v>1</v>
      </c>
      <c r="AG38" s="40">
        <f t="shared" ref="AG38" si="18">IF(AG15=1,1,0)</f>
        <v>1</v>
      </c>
    </row>
  </sheetData>
  <mergeCells count="46">
    <mergeCell ref="C11:D11"/>
    <mergeCell ref="Y14:AB14"/>
    <mergeCell ref="AG7:AG8"/>
    <mergeCell ref="W10:Y10"/>
    <mergeCell ref="L3:N3"/>
    <mergeCell ref="M13:S14"/>
    <mergeCell ref="I3:K3"/>
    <mergeCell ref="I10:L10"/>
    <mergeCell ref="K4:M4"/>
    <mergeCell ref="N6:Q6"/>
    <mergeCell ref="E8:Q8"/>
    <mergeCell ref="M10:O10"/>
    <mergeCell ref="F5:K5"/>
    <mergeCell ref="C3:E4"/>
    <mergeCell ref="C5:D5"/>
    <mergeCell ref="C9:G9"/>
    <mergeCell ref="F11:H11"/>
    <mergeCell ref="AF14:AG14"/>
    <mergeCell ref="V5:X5"/>
    <mergeCell ref="AF4:AG4"/>
    <mergeCell ref="AC3:AE4"/>
    <mergeCell ref="AD9:AF9"/>
    <mergeCell ref="AC8:AE8"/>
    <mergeCell ref="I11:L11"/>
    <mergeCell ref="X15:Z15"/>
    <mergeCell ref="X6:AB6"/>
    <mergeCell ref="Y3:AA5"/>
    <mergeCell ref="W8:Y8"/>
    <mergeCell ref="Y7:AA7"/>
    <mergeCell ref="T14:X14"/>
    <mergeCell ref="Q10:V10"/>
    <mergeCell ref="N11:T11"/>
    <mergeCell ref="O3:Q3"/>
    <mergeCell ref="O4:R5"/>
    <mergeCell ref="S5:U5"/>
    <mergeCell ref="AA11:AF11"/>
    <mergeCell ref="T13:X13"/>
    <mergeCell ref="N7:P7"/>
    <mergeCell ref="Q7:S7"/>
    <mergeCell ref="L9:N9"/>
    <mergeCell ref="E15:G15"/>
    <mergeCell ref="I12:K13"/>
    <mergeCell ref="P15:R15"/>
    <mergeCell ref="M15:O15"/>
    <mergeCell ref="S15:U15"/>
    <mergeCell ref="M12:O12"/>
  </mergeCells>
  <conditionalFormatting sqref="C17:AG2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BF42-D370-4440-92E4-672C6814F767}">
  <sheetPr>
    <tabColor theme="4" tint="0.59999389629810485"/>
  </sheetPr>
  <dimension ref="A1:AG38"/>
  <sheetViews>
    <sheetView zoomScale="40" zoomScaleNormal="40" workbookViewId="0">
      <pane xSplit="2" ySplit="2" topLeftCell="C5" activePane="bottomRight" state="frozen"/>
      <selection pane="bottomRight" activeCell="D5" sqref="D5:F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33" width="16.710937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30" t="s">
        <v>2</v>
      </c>
      <c r="D2" s="31" t="s">
        <v>3</v>
      </c>
      <c r="E2" s="28" t="s">
        <v>4</v>
      </c>
      <c r="F2" s="28" t="s">
        <v>5</v>
      </c>
      <c r="G2" s="29" t="s">
        <v>6</v>
      </c>
      <c r="H2" s="28" t="s">
        <v>7</v>
      </c>
      <c r="I2" s="28" t="s">
        <v>8</v>
      </c>
      <c r="J2" s="30" t="s">
        <v>2</v>
      </c>
      <c r="K2" s="31" t="s">
        <v>3</v>
      </c>
      <c r="L2" s="28" t="s">
        <v>4</v>
      </c>
      <c r="M2" s="28" t="s">
        <v>5</v>
      </c>
      <c r="N2" s="29" t="s">
        <v>6</v>
      </c>
      <c r="O2" s="28" t="s">
        <v>7</v>
      </c>
      <c r="P2" s="28" t="s">
        <v>8</v>
      </c>
      <c r="Q2" s="30" t="s">
        <v>2</v>
      </c>
      <c r="R2" s="31" t="s">
        <v>3</v>
      </c>
      <c r="S2" s="28" t="s">
        <v>4</v>
      </c>
      <c r="T2" s="28" t="s">
        <v>5</v>
      </c>
      <c r="U2" s="29" t="s">
        <v>6</v>
      </c>
      <c r="V2" s="28" t="s">
        <v>7</v>
      </c>
      <c r="W2" s="28" t="s">
        <v>8</v>
      </c>
      <c r="X2" s="50" t="s">
        <v>2</v>
      </c>
      <c r="Y2" s="51" t="s">
        <v>3</v>
      </c>
      <c r="Z2" s="52" t="s">
        <v>4</v>
      </c>
      <c r="AA2" s="52" t="s">
        <v>5</v>
      </c>
      <c r="AB2" s="53" t="s">
        <v>6</v>
      </c>
      <c r="AC2" s="52" t="s">
        <v>7</v>
      </c>
      <c r="AD2" s="52" t="s">
        <v>8</v>
      </c>
      <c r="AE2" s="50" t="s">
        <v>2</v>
      </c>
      <c r="AF2" s="51" t="s">
        <v>3</v>
      </c>
      <c r="AG2" s="28" t="s">
        <v>4</v>
      </c>
    </row>
    <row r="3" spans="1:33" ht="85.5" customHeight="1">
      <c r="A3" s="32">
        <v>1</v>
      </c>
      <c r="B3" s="33" t="s">
        <v>9</v>
      </c>
      <c r="C3" s="23">
        <v>1</v>
      </c>
      <c r="D3" s="23">
        <v>1</v>
      </c>
      <c r="E3" s="23">
        <v>1</v>
      </c>
      <c r="F3" s="385" t="s">
        <v>683</v>
      </c>
      <c r="G3" s="283"/>
      <c r="H3" s="283"/>
      <c r="I3" s="283"/>
      <c r="J3" s="287"/>
      <c r="K3" s="411" t="s">
        <v>684</v>
      </c>
      <c r="L3" s="642"/>
      <c r="M3" s="441"/>
      <c r="N3" s="23">
        <v>1</v>
      </c>
      <c r="O3" s="23">
        <v>1</v>
      </c>
      <c r="P3" s="23">
        <v>1</v>
      </c>
      <c r="Q3" s="23">
        <v>1</v>
      </c>
      <c r="R3" s="23">
        <v>1</v>
      </c>
      <c r="S3" s="23">
        <v>1</v>
      </c>
      <c r="T3" s="370" t="s">
        <v>685</v>
      </c>
      <c r="U3" s="246"/>
      <c r="V3" s="371"/>
      <c r="W3" s="65">
        <v>1</v>
      </c>
      <c r="X3" s="121"/>
      <c r="Y3" s="91"/>
      <c r="Z3" s="91"/>
      <c r="AA3" s="91"/>
      <c r="AB3" s="643" t="s">
        <v>686</v>
      </c>
      <c r="AC3" s="604"/>
      <c r="AD3" s="612"/>
      <c r="AE3" s="91"/>
      <c r="AF3" s="91"/>
      <c r="AG3" s="108">
        <v>1</v>
      </c>
    </row>
    <row r="4" spans="1:33" ht="85.5" customHeight="1">
      <c r="A4" s="34">
        <v>2</v>
      </c>
      <c r="B4" s="33" t="s">
        <v>9</v>
      </c>
      <c r="C4" s="189" t="s">
        <v>649</v>
      </c>
      <c r="D4" s="46">
        <v>1</v>
      </c>
      <c r="E4" s="46">
        <v>1</v>
      </c>
      <c r="F4" s="46">
        <v>1</v>
      </c>
      <c r="G4" s="218" t="s">
        <v>687</v>
      </c>
      <c r="H4" s="216"/>
      <c r="I4" s="225"/>
      <c r="J4" s="23">
        <v>1</v>
      </c>
      <c r="K4" s="23">
        <v>1</v>
      </c>
      <c r="L4" s="23">
        <v>1</v>
      </c>
      <c r="M4" s="215" t="s">
        <v>688</v>
      </c>
      <c r="N4" s="279"/>
      <c r="O4" s="225"/>
      <c r="P4" s="23">
        <v>1</v>
      </c>
      <c r="Q4" s="23">
        <v>1</v>
      </c>
      <c r="R4" s="23">
        <v>1</v>
      </c>
      <c r="S4" s="23">
        <v>1</v>
      </c>
      <c r="T4" s="254"/>
      <c r="U4" s="255"/>
      <c r="V4" s="298"/>
      <c r="W4" s="23">
        <v>1</v>
      </c>
      <c r="X4" s="385" t="s">
        <v>689</v>
      </c>
      <c r="Y4" s="283"/>
      <c r="Z4" s="283"/>
      <c r="AA4" s="287"/>
      <c r="AB4" s="644"/>
      <c r="AC4" s="563"/>
      <c r="AD4" s="575"/>
      <c r="AE4" s="91"/>
      <c r="AF4" s="91"/>
      <c r="AG4" s="108">
        <v>1</v>
      </c>
    </row>
    <row r="5" spans="1:33" ht="108" customHeight="1">
      <c r="A5" s="34">
        <v>3</v>
      </c>
      <c r="B5" s="35" t="s">
        <v>29</v>
      </c>
      <c r="C5" s="84"/>
      <c r="D5" s="587" t="s">
        <v>690</v>
      </c>
      <c r="E5" s="294"/>
      <c r="F5" s="295"/>
      <c r="G5" s="84"/>
      <c r="H5" s="84"/>
      <c r="I5" s="108">
        <v>1</v>
      </c>
      <c r="J5" s="215" t="s">
        <v>691</v>
      </c>
      <c r="K5" s="279"/>
      <c r="L5" s="225"/>
      <c r="M5" s="23">
        <v>1</v>
      </c>
      <c r="N5" s="23">
        <v>1</v>
      </c>
      <c r="O5" s="23">
        <v>1</v>
      </c>
      <c r="P5" s="215" t="s">
        <v>692</v>
      </c>
      <c r="Q5" s="279"/>
      <c r="R5" s="225"/>
      <c r="S5" s="215" t="s">
        <v>693</v>
      </c>
      <c r="T5" s="279"/>
      <c r="U5" s="279"/>
      <c r="V5" s="279"/>
      <c r="W5" s="279"/>
      <c r="X5" s="225"/>
      <c r="Y5" s="23">
        <v>1</v>
      </c>
      <c r="Z5" s="23">
        <v>1</v>
      </c>
      <c r="AA5" s="23">
        <v>1</v>
      </c>
      <c r="AB5" s="645"/>
      <c r="AC5" s="574"/>
      <c r="AD5" s="646"/>
      <c r="AE5" s="91"/>
      <c r="AF5" s="91"/>
      <c r="AG5" s="108">
        <v>1</v>
      </c>
    </row>
    <row r="6" spans="1:33" ht="108" customHeight="1">
      <c r="A6" s="34">
        <v>4</v>
      </c>
      <c r="B6" s="33" t="s">
        <v>37</v>
      </c>
      <c r="C6" s="47">
        <v>1</v>
      </c>
      <c r="D6" s="47">
        <v>1</v>
      </c>
      <c r="E6" s="47">
        <v>1</v>
      </c>
      <c r="F6" s="47">
        <v>1</v>
      </c>
      <c r="G6" s="47">
        <v>1</v>
      </c>
      <c r="H6" s="47">
        <v>1</v>
      </c>
      <c r="I6" s="23">
        <v>1</v>
      </c>
      <c r="J6" s="23">
        <v>1</v>
      </c>
      <c r="K6" s="23">
        <v>1</v>
      </c>
      <c r="L6" s="23">
        <v>1</v>
      </c>
      <c r="M6" s="215" t="s">
        <v>694</v>
      </c>
      <c r="N6" s="279"/>
      <c r="O6" s="279"/>
      <c r="P6" s="225"/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X6" s="23">
        <v>1</v>
      </c>
      <c r="Y6" s="215" t="s">
        <v>695</v>
      </c>
      <c r="Z6" s="279"/>
      <c r="AA6" s="279"/>
      <c r="AB6" s="255"/>
      <c r="AC6" s="255"/>
      <c r="AD6" s="255"/>
      <c r="AE6" s="255"/>
      <c r="AF6" s="298"/>
      <c r="AG6" s="23">
        <v>1</v>
      </c>
    </row>
    <row r="7" spans="1:33" ht="85.5" customHeight="1">
      <c r="A7" s="34">
        <v>5</v>
      </c>
      <c r="B7" s="33" t="s">
        <v>37</v>
      </c>
      <c r="C7" s="630" t="s">
        <v>658</v>
      </c>
      <c r="D7" s="631"/>
      <c r="E7" s="631"/>
      <c r="F7" s="632"/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B7" s="23">
        <v>1</v>
      </c>
      <c r="AC7" s="23">
        <v>1</v>
      </c>
      <c r="AD7" s="23">
        <v>1</v>
      </c>
      <c r="AE7" s="23">
        <v>1</v>
      </c>
      <c r="AF7" s="23">
        <v>1</v>
      </c>
      <c r="AG7" s="23">
        <v>1</v>
      </c>
    </row>
    <row r="8" spans="1:33" ht="103.35" customHeight="1">
      <c r="A8" s="34">
        <v>6</v>
      </c>
      <c r="B8" s="33" t="s">
        <v>9</v>
      </c>
      <c r="C8" s="291"/>
      <c r="D8" s="292"/>
      <c r="E8" s="292"/>
      <c r="F8" s="293"/>
      <c r="G8" s="23">
        <v>1</v>
      </c>
      <c r="H8" s="46">
        <v>1</v>
      </c>
      <c r="I8" s="46">
        <v>1</v>
      </c>
      <c r="J8" s="46">
        <v>1</v>
      </c>
      <c r="K8" s="23">
        <v>1</v>
      </c>
      <c r="L8" s="281" t="s">
        <v>696</v>
      </c>
      <c r="M8" s="282"/>
      <c r="N8" s="297"/>
      <c r="O8" s="23">
        <v>1</v>
      </c>
      <c r="P8" s="23">
        <v>1</v>
      </c>
      <c r="Q8" s="23">
        <v>1</v>
      </c>
      <c r="R8" s="215" t="s">
        <v>697</v>
      </c>
      <c r="S8" s="279"/>
      <c r="T8" s="225"/>
      <c r="U8" s="281" t="s">
        <v>698</v>
      </c>
      <c r="V8" s="282"/>
      <c r="W8" s="282"/>
      <c r="X8" s="386"/>
      <c r="Y8" s="386"/>
      <c r="Z8" s="387"/>
      <c r="AA8" s="23">
        <v>1</v>
      </c>
      <c r="AB8" s="647" t="s">
        <v>699</v>
      </c>
      <c r="AC8" s="648"/>
      <c r="AD8" s="649"/>
      <c r="AE8" s="46">
        <v>1</v>
      </c>
      <c r="AF8" s="46">
        <v>1</v>
      </c>
      <c r="AG8" s="23">
        <v>1</v>
      </c>
    </row>
    <row r="9" spans="1:33" ht="112.5" customHeight="1">
      <c r="A9" s="34">
        <v>7</v>
      </c>
      <c r="B9" s="33" t="s">
        <v>9</v>
      </c>
      <c r="C9" s="23">
        <v>1</v>
      </c>
      <c r="D9" s="23">
        <v>1</v>
      </c>
      <c r="E9" s="546" t="s">
        <v>700</v>
      </c>
      <c r="F9" s="547"/>
      <c r="G9" s="547"/>
      <c r="H9" s="121"/>
      <c r="I9" s="121"/>
      <c r="J9" s="121"/>
      <c r="K9" s="284" t="s">
        <v>701</v>
      </c>
      <c r="L9" s="282"/>
      <c r="M9" s="282"/>
      <c r="N9" s="297"/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81" t="s">
        <v>702</v>
      </c>
      <c r="V9" s="282"/>
      <c r="W9" s="282"/>
      <c r="X9" s="587" t="s">
        <v>703</v>
      </c>
      <c r="Y9" s="294"/>
      <c r="Z9" s="295"/>
      <c r="AA9" s="108">
        <v>1</v>
      </c>
      <c r="AB9" s="23">
        <v>1</v>
      </c>
      <c r="AC9" s="65">
        <v>1</v>
      </c>
      <c r="AD9" s="148"/>
      <c r="AE9" s="91"/>
      <c r="AF9" s="91"/>
      <c r="AG9" s="108">
        <v>1</v>
      </c>
    </row>
    <row r="10" spans="1:33" ht="85.5" customHeight="1">
      <c r="A10" s="34">
        <v>8</v>
      </c>
      <c r="B10" s="33" t="s">
        <v>9</v>
      </c>
      <c r="C10" s="23">
        <v>1</v>
      </c>
      <c r="D10" s="46">
        <v>1</v>
      </c>
      <c r="E10" s="46">
        <v>1</v>
      </c>
      <c r="F10" s="46">
        <v>1</v>
      </c>
      <c r="G10" s="23">
        <v>1</v>
      </c>
      <c r="H10" s="47">
        <v>1</v>
      </c>
      <c r="I10" s="47">
        <v>1</v>
      </c>
      <c r="J10" s="47">
        <v>1</v>
      </c>
      <c r="K10" s="23">
        <v>1</v>
      </c>
      <c r="L10" s="23">
        <v>1</v>
      </c>
      <c r="M10" s="23">
        <v>1</v>
      </c>
      <c r="N10" s="23">
        <v>1</v>
      </c>
      <c r="O10" s="23">
        <v>1</v>
      </c>
      <c r="P10" s="215" t="s">
        <v>704</v>
      </c>
      <c r="Q10" s="279"/>
      <c r="R10" s="225"/>
      <c r="S10" s="23">
        <v>1</v>
      </c>
      <c r="T10" s="23">
        <v>1</v>
      </c>
      <c r="U10" s="23">
        <v>1</v>
      </c>
      <c r="V10" s="23">
        <v>1</v>
      </c>
      <c r="W10" s="23">
        <v>1</v>
      </c>
      <c r="X10" s="302" t="s">
        <v>705</v>
      </c>
      <c r="Y10" s="303"/>
      <c r="Z10" s="304"/>
      <c r="AA10" s="23">
        <v>1</v>
      </c>
      <c r="AB10" s="23">
        <v>1</v>
      </c>
      <c r="AC10" s="23">
        <v>1</v>
      </c>
      <c r="AD10" s="47">
        <v>1</v>
      </c>
      <c r="AE10" s="47">
        <v>1</v>
      </c>
      <c r="AF10" s="47">
        <v>1</v>
      </c>
      <c r="AG10" s="23">
        <v>1</v>
      </c>
    </row>
    <row r="11" spans="1:33" ht="85.5" customHeight="1">
      <c r="A11" s="34">
        <v>9</v>
      </c>
      <c r="B11" s="35" t="s">
        <v>29</v>
      </c>
      <c r="C11" s="65">
        <v>1</v>
      </c>
      <c r="D11" s="84"/>
      <c r="E11" s="84"/>
      <c r="F11" s="84"/>
      <c r="G11" s="108">
        <v>1</v>
      </c>
      <c r="H11" s="215" t="s">
        <v>706</v>
      </c>
      <c r="I11" s="279"/>
      <c r="J11" s="279"/>
      <c r="K11" s="279"/>
      <c r="L11" s="225"/>
      <c r="M11" s="23">
        <v>1</v>
      </c>
      <c r="N11" s="23">
        <v>1</v>
      </c>
      <c r="O11" s="23">
        <v>1</v>
      </c>
      <c r="P11" s="281" t="s">
        <v>707</v>
      </c>
      <c r="Q11" s="282"/>
      <c r="R11" s="297"/>
      <c r="S11" s="23">
        <v>1</v>
      </c>
      <c r="T11" s="23">
        <v>1</v>
      </c>
      <c r="U11" s="23">
        <v>1</v>
      </c>
      <c r="V11" s="215" t="s">
        <v>708</v>
      </c>
      <c r="W11" s="279"/>
      <c r="X11" s="225"/>
      <c r="Y11" s="23">
        <v>1</v>
      </c>
      <c r="Z11" s="23">
        <v>1</v>
      </c>
      <c r="AA11" s="23">
        <v>1</v>
      </c>
      <c r="AB11" s="23">
        <v>1</v>
      </c>
      <c r="AC11" s="23">
        <v>1</v>
      </c>
      <c r="AD11" s="215" t="s">
        <v>709</v>
      </c>
      <c r="AE11" s="279"/>
      <c r="AF11" s="225"/>
      <c r="AG11" s="23">
        <v>1</v>
      </c>
    </row>
    <row r="12" spans="1:33" ht="85.5" customHeight="1">
      <c r="A12" s="34">
        <v>10</v>
      </c>
      <c r="B12" s="33" t="s">
        <v>37</v>
      </c>
      <c r="C12" s="23">
        <v>1</v>
      </c>
      <c r="D12" s="47">
        <v>1</v>
      </c>
      <c r="E12" s="47">
        <v>1</v>
      </c>
      <c r="F12" s="47">
        <v>1</v>
      </c>
      <c r="G12" s="23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  <c r="AG12" s="23">
        <v>1</v>
      </c>
    </row>
    <row r="13" spans="1:33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  <c r="AE13" s="23">
        <v>1</v>
      </c>
      <c r="AF13" s="23">
        <v>1</v>
      </c>
      <c r="AG13" s="23">
        <v>1</v>
      </c>
    </row>
    <row r="14" spans="1:33" ht="85.5" customHeight="1">
      <c r="A14" s="34">
        <v>12</v>
      </c>
      <c r="B14" s="33" t="s">
        <v>9</v>
      </c>
      <c r="C14" s="192" t="s">
        <v>710</v>
      </c>
      <c r="D14" s="23">
        <v>1</v>
      </c>
      <c r="E14" s="23">
        <v>1</v>
      </c>
      <c r="F14" s="546" t="s">
        <v>711</v>
      </c>
      <c r="G14" s="547"/>
      <c r="H14" s="547"/>
      <c r="I14" s="547"/>
      <c r="J14" s="548"/>
      <c r="K14" s="23">
        <v>1</v>
      </c>
      <c r="L14" s="23">
        <v>1</v>
      </c>
      <c r="M14" s="23">
        <v>1</v>
      </c>
      <c r="N14" s="23">
        <v>1</v>
      </c>
      <c r="O14" s="23">
        <v>1</v>
      </c>
      <c r="P14" s="23">
        <v>1</v>
      </c>
      <c r="Q14" s="23">
        <v>1</v>
      </c>
      <c r="R14" s="23">
        <v>1</v>
      </c>
      <c r="S14" s="23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  <c r="AG14" s="23">
        <v>1</v>
      </c>
    </row>
    <row r="15" spans="1:33" ht="85.5" customHeight="1">
      <c r="A15" s="34" t="s">
        <v>111</v>
      </c>
      <c r="B15" s="33" t="s">
        <v>112</v>
      </c>
      <c r="C15" s="23">
        <v>1</v>
      </c>
      <c r="D15" s="23">
        <v>1</v>
      </c>
      <c r="E15" s="23">
        <v>1</v>
      </c>
      <c r="F15" s="215" t="s">
        <v>712</v>
      </c>
      <c r="G15" s="279"/>
      <c r="H15" s="225"/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81" t="s">
        <v>707</v>
      </c>
      <c r="Q15" s="282"/>
      <c r="R15" s="297"/>
      <c r="S15" s="23">
        <v>1</v>
      </c>
      <c r="T15" s="23">
        <v>1</v>
      </c>
      <c r="U15" s="23">
        <v>1</v>
      </c>
      <c r="V15" s="23">
        <v>1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B15" s="23">
        <v>1</v>
      </c>
      <c r="AC15" s="23">
        <v>1</v>
      </c>
      <c r="AD15" s="23">
        <v>1</v>
      </c>
      <c r="AE15" s="23">
        <v>1</v>
      </c>
      <c r="AF15" s="23">
        <v>1</v>
      </c>
      <c r="AG15" s="23">
        <v>1</v>
      </c>
    </row>
    <row r="16" spans="1:33" ht="84.95" customHeight="1">
      <c r="A16" s="36"/>
      <c r="B16" s="37"/>
      <c r="C16" s="38">
        <f>(30*13-SUM(C17:AF20))/(30*13)</f>
        <v>0.38717948717948719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3" ht="85.5" customHeight="1">
      <c r="A17" s="2"/>
      <c r="B17" s="3" t="s">
        <v>121</v>
      </c>
      <c r="C17" s="2">
        <f t="shared" ref="C17:AG17" si="0">C28+C34</f>
        <v>1</v>
      </c>
      <c r="D17" s="2">
        <f t="shared" si="0"/>
        <v>0</v>
      </c>
      <c r="E17" s="4">
        <f t="shared" si="0"/>
        <v>0</v>
      </c>
      <c r="F17" s="4">
        <f t="shared" si="0"/>
        <v>0</v>
      </c>
      <c r="G17" s="4">
        <f t="shared" si="0"/>
        <v>1</v>
      </c>
      <c r="H17" s="4">
        <f t="shared" si="0"/>
        <v>0</v>
      </c>
      <c r="I17" s="4">
        <f t="shared" si="0"/>
        <v>1</v>
      </c>
      <c r="J17" s="4">
        <f t="shared" si="0"/>
        <v>0</v>
      </c>
      <c r="K17" s="4">
        <f t="shared" si="0"/>
        <v>0</v>
      </c>
      <c r="L17" s="4">
        <f t="shared" si="0"/>
        <v>0</v>
      </c>
      <c r="M17" s="4">
        <f t="shared" si="0"/>
        <v>2</v>
      </c>
      <c r="N17" s="4">
        <f t="shared" si="0"/>
        <v>2</v>
      </c>
      <c r="O17" s="4">
        <f t="shared" si="0"/>
        <v>2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1</v>
      </c>
      <c r="T17" s="4">
        <f t="shared" si="0"/>
        <v>1</v>
      </c>
      <c r="U17" s="4">
        <f t="shared" si="0"/>
        <v>1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2</v>
      </c>
      <c r="Z17" s="4">
        <f t="shared" si="0"/>
        <v>2</v>
      </c>
      <c r="AA17" s="4">
        <f t="shared" si="0"/>
        <v>2</v>
      </c>
      <c r="AB17" s="4">
        <f t="shared" si="0"/>
        <v>1</v>
      </c>
      <c r="AC17" s="4">
        <f t="shared" si="0"/>
        <v>1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si="0"/>
        <v>2</v>
      </c>
    </row>
    <row r="18" spans="1:33" ht="85.5" customHeight="1">
      <c r="A18" s="2"/>
      <c r="B18" s="3" t="s">
        <v>122</v>
      </c>
      <c r="C18" s="2">
        <f t="shared" ref="C18:AG18" si="1">C26+C27+C31+C32+C33+C37</f>
        <v>3</v>
      </c>
      <c r="D18" s="2">
        <f t="shared" si="1"/>
        <v>5</v>
      </c>
      <c r="E18" s="4">
        <f t="shared" si="1"/>
        <v>4</v>
      </c>
      <c r="F18" s="4">
        <f t="shared" si="1"/>
        <v>2</v>
      </c>
      <c r="G18" s="4">
        <f t="shared" si="1"/>
        <v>2</v>
      </c>
      <c r="H18" s="4">
        <f t="shared" si="1"/>
        <v>2</v>
      </c>
      <c r="I18" s="4">
        <f t="shared" si="1"/>
        <v>2</v>
      </c>
      <c r="J18" s="4">
        <f t="shared" si="1"/>
        <v>3</v>
      </c>
      <c r="K18" s="4">
        <f t="shared" si="1"/>
        <v>4</v>
      </c>
      <c r="L18" s="4">
        <f t="shared" si="1"/>
        <v>3</v>
      </c>
      <c r="M18" s="4">
        <f t="shared" si="1"/>
        <v>2</v>
      </c>
      <c r="N18" s="4">
        <f t="shared" si="1"/>
        <v>3</v>
      </c>
      <c r="O18" s="4">
        <f t="shared" si="1"/>
        <v>5</v>
      </c>
      <c r="P18" s="4">
        <f t="shared" si="1"/>
        <v>5</v>
      </c>
      <c r="Q18" s="4">
        <f t="shared" si="1"/>
        <v>5</v>
      </c>
      <c r="R18" s="4">
        <f t="shared" si="1"/>
        <v>4</v>
      </c>
      <c r="S18" s="4">
        <f t="shared" si="1"/>
        <v>5</v>
      </c>
      <c r="T18" s="4">
        <f t="shared" si="1"/>
        <v>3</v>
      </c>
      <c r="U18" s="4">
        <f t="shared" si="1"/>
        <v>2</v>
      </c>
      <c r="V18" s="4">
        <f t="shared" si="1"/>
        <v>2</v>
      </c>
      <c r="W18" s="4">
        <f t="shared" si="1"/>
        <v>4</v>
      </c>
      <c r="X18" s="4">
        <f t="shared" si="1"/>
        <v>1</v>
      </c>
      <c r="Y18" s="4">
        <f t="shared" si="1"/>
        <v>1</v>
      </c>
      <c r="Z18" s="4">
        <f t="shared" si="1"/>
        <v>1</v>
      </c>
      <c r="AA18" s="4">
        <f t="shared" si="1"/>
        <v>4</v>
      </c>
      <c r="AB18" s="4">
        <f t="shared" si="1"/>
        <v>3</v>
      </c>
      <c r="AC18" s="4">
        <f t="shared" si="1"/>
        <v>3</v>
      </c>
      <c r="AD18" s="4">
        <f t="shared" si="1"/>
        <v>2</v>
      </c>
      <c r="AE18" s="4">
        <f t="shared" si="1"/>
        <v>3</v>
      </c>
      <c r="AF18" s="4">
        <f t="shared" si="1"/>
        <v>3</v>
      </c>
      <c r="AG18" s="4">
        <f t="shared" si="1"/>
        <v>6</v>
      </c>
    </row>
    <row r="19" spans="1:33" ht="85.5" customHeight="1">
      <c r="A19" s="2"/>
      <c r="B19" s="3" t="s">
        <v>123</v>
      </c>
      <c r="C19" s="2">
        <f t="shared" ref="C19:AG19" si="2">C29+C30+C35+C36</f>
        <v>3</v>
      </c>
      <c r="D19" s="2">
        <f t="shared" si="2"/>
        <v>3</v>
      </c>
      <c r="E19" s="4">
        <f t="shared" si="2"/>
        <v>3</v>
      </c>
      <c r="F19" s="4">
        <f t="shared" si="2"/>
        <v>3</v>
      </c>
      <c r="G19" s="4">
        <f t="shared" si="2"/>
        <v>4</v>
      </c>
      <c r="H19" s="4">
        <f t="shared" si="2"/>
        <v>4</v>
      </c>
      <c r="I19" s="4">
        <f t="shared" si="2"/>
        <v>4</v>
      </c>
      <c r="J19" s="4">
        <f t="shared" si="2"/>
        <v>4</v>
      </c>
      <c r="K19" s="4">
        <f t="shared" si="2"/>
        <v>4</v>
      </c>
      <c r="L19" s="4">
        <f t="shared" si="2"/>
        <v>4</v>
      </c>
      <c r="M19" s="4">
        <f t="shared" si="2"/>
        <v>3</v>
      </c>
      <c r="N19" s="4">
        <f t="shared" si="2"/>
        <v>3</v>
      </c>
      <c r="O19" s="4">
        <f t="shared" si="2"/>
        <v>3</v>
      </c>
      <c r="P19" s="4">
        <f t="shared" si="2"/>
        <v>3</v>
      </c>
      <c r="Q19" s="4">
        <f t="shared" si="2"/>
        <v>4</v>
      </c>
      <c r="R19" s="4">
        <f t="shared" si="2"/>
        <v>4</v>
      </c>
      <c r="S19" s="4">
        <f t="shared" si="2"/>
        <v>4</v>
      </c>
      <c r="T19" s="4">
        <f t="shared" si="2"/>
        <v>4</v>
      </c>
      <c r="U19" s="4">
        <f t="shared" si="2"/>
        <v>4</v>
      </c>
      <c r="V19" s="4">
        <f t="shared" si="2"/>
        <v>4</v>
      </c>
      <c r="W19" s="4">
        <f t="shared" si="2"/>
        <v>4</v>
      </c>
      <c r="X19" s="4">
        <f t="shared" si="2"/>
        <v>4</v>
      </c>
      <c r="Y19" s="4">
        <f t="shared" si="2"/>
        <v>3</v>
      </c>
      <c r="Z19" s="4">
        <f t="shared" si="2"/>
        <v>3</v>
      </c>
      <c r="AA19" s="4">
        <f t="shared" si="2"/>
        <v>3</v>
      </c>
      <c r="AB19" s="4">
        <f t="shared" si="2"/>
        <v>3</v>
      </c>
      <c r="AC19" s="4">
        <f t="shared" si="2"/>
        <v>3</v>
      </c>
      <c r="AD19" s="4">
        <f t="shared" si="2"/>
        <v>3</v>
      </c>
      <c r="AE19" s="4">
        <f t="shared" si="2"/>
        <v>3</v>
      </c>
      <c r="AF19" s="4">
        <f t="shared" si="2"/>
        <v>3</v>
      </c>
      <c r="AG19" s="4">
        <f t="shared" si="2"/>
        <v>4</v>
      </c>
    </row>
    <row r="20" spans="1:33" ht="85.5" customHeight="1">
      <c r="A20" s="2"/>
      <c r="B20" s="3" t="s">
        <v>124</v>
      </c>
      <c r="C20" s="2">
        <f t="shared" ref="C20:AG20" si="3">C38</f>
        <v>1</v>
      </c>
      <c r="D20" s="2">
        <f t="shared" si="3"/>
        <v>1</v>
      </c>
      <c r="E20" s="4">
        <f t="shared" si="3"/>
        <v>1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1</v>
      </c>
      <c r="J20" s="4">
        <f t="shared" si="3"/>
        <v>1</v>
      </c>
      <c r="K20" s="4">
        <f t="shared" si="3"/>
        <v>1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1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1</v>
      </c>
      <c r="T20" s="4">
        <f t="shared" si="3"/>
        <v>1</v>
      </c>
      <c r="U20" s="4">
        <f t="shared" si="3"/>
        <v>1</v>
      </c>
      <c r="V20" s="4">
        <f t="shared" si="3"/>
        <v>1</v>
      </c>
      <c r="W20" s="4">
        <f t="shared" si="3"/>
        <v>1</v>
      </c>
      <c r="X20" s="4">
        <f t="shared" si="3"/>
        <v>1</v>
      </c>
      <c r="Y20" s="4">
        <f t="shared" si="3"/>
        <v>1</v>
      </c>
      <c r="Z20" s="4">
        <f t="shared" si="3"/>
        <v>1</v>
      </c>
      <c r="AA20" s="4">
        <f t="shared" si="3"/>
        <v>1</v>
      </c>
      <c r="AB20" s="4">
        <f t="shared" si="3"/>
        <v>1</v>
      </c>
      <c r="AC20" s="4">
        <f t="shared" si="3"/>
        <v>1</v>
      </c>
      <c r="AD20" s="4">
        <f t="shared" si="3"/>
        <v>1</v>
      </c>
      <c r="AE20" s="4">
        <f t="shared" si="3"/>
        <v>1</v>
      </c>
      <c r="AF20" s="4">
        <f t="shared" si="3"/>
        <v>1</v>
      </c>
      <c r="AG20" s="4">
        <f t="shared" si="3"/>
        <v>1</v>
      </c>
    </row>
    <row r="21" spans="1:33" ht="85.5" customHeight="1">
      <c r="C21" s="41">
        <f t="shared" ref="C21:AF21" si="4">SUM(C17:C20)</f>
        <v>8</v>
      </c>
      <c r="D21" s="41">
        <f t="shared" si="4"/>
        <v>9</v>
      </c>
      <c r="E21" s="41">
        <f t="shared" si="4"/>
        <v>8</v>
      </c>
      <c r="F21" s="41">
        <f t="shared" si="4"/>
        <v>5</v>
      </c>
      <c r="G21" s="41">
        <f t="shared" si="4"/>
        <v>7</v>
      </c>
      <c r="H21" s="41">
        <f t="shared" si="4"/>
        <v>6</v>
      </c>
      <c r="I21" s="41">
        <f t="shared" si="4"/>
        <v>8</v>
      </c>
      <c r="J21" s="41">
        <f t="shared" si="4"/>
        <v>8</v>
      </c>
      <c r="K21" s="41">
        <f t="shared" si="4"/>
        <v>9</v>
      </c>
      <c r="L21" s="41">
        <f t="shared" si="4"/>
        <v>8</v>
      </c>
      <c r="M21" s="41">
        <f t="shared" si="4"/>
        <v>8</v>
      </c>
      <c r="N21" s="41">
        <f t="shared" si="4"/>
        <v>9</v>
      </c>
      <c r="O21" s="41">
        <f t="shared" si="4"/>
        <v>11</v>
      </c>
      <c r="P21" s="41">
        <f t="shared" si="4"/>
        <v>8</v>
      </c>
      <c r="Q21" s="41">
        <f t="shared" si="4"/>
        <v>9</v>
      </c>
      <c r="R21" s="41">
        <f t="shared" si="4"/>
        <v>8</v>
      </c>
      <c r="S21" s="41">
        <f t="shared" si="4"/>
        <v>11</v>
      </c>
      <c r="T21" s="41">
        <f t="shared" si="4"/>
        <v>9</v>
      </c>
      <c r="U21" s="41">
        <f t="shared" si="4"/>
        <v>8</v>
      </c>
      <c r="V21" s="41">
        <f t="shared" si="4"/>
        <v>7</v>
      </c>
      <c r="W21" s="41">
        <f t="shared" si="4"/>
        <v>9</v>
      </c>
      <c r="X21" s="41">
        <f t="shared" si="4"/>
        <v>6</v>
      </c>
      <c r="Y21" s="41">
        <f t="shared" si="4"/>
        <v>7</v>
      </c>
      <c r="Z21" s="41">
        <f t="shared" si="4"/>
        <v>7</v>
      </c>
      <c r="AA21" s="41">
        <f t="shared" si="4"/>
        <v>10</v>
      </c>
      <c r="AB21" s="41">
        <f t="shared" si="4"/>
        <v>8</v>
      </c>
      <c r="AC21" s="41">
        <f t="shared" si="4"/>
        <v>8</v>
      </c>
      <c r="AD21" s="41">
        <f t="shared" si="4"/>
        <v>6</v>
      </c>
      <c r="AE21" s="41">
        <f t="shared" si="4"/>
        <v>7</v>
      </c>
      <c r="AF21" s="41">
        <f t="shared" si="4"/>
        <v>7</v>
      </c>
      <c r="AG21" s="41">
        <f t="shared" ref="AG21" si="5">SUM(AG17:AG20)</f>
        <v>13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AG34" si="6">IF(C3=1,1,0)</f>
        <v>1</v>
      </c>
      <c r="D26" s="40">
        <f t="shared" ref="D26:AF26" si="7">IF(D3=1,1,0)</f>
        <v>1</v>
      </c>
      <c r="E26" s="40">
        <f t="shared" si="7"/>
        <v>1</v>
      </c>
      <c r="F26" s="40">
        <f t="shared" si="7"/>
        <v>0</v>
      </c>
      <c r="G26" s="40">
        <f t="shared" si="7"/>
        <v>0</v>
      </c>
      <c r="H26" s="40">
        <f t="shared" si="7"/>
        <v>0</v>
      </c>
      <c r="I26" s="40">
        <f t="shared" si="7"/>
        <v>0</v>
      </c>
      <c r="J26" s="40">
        <f t="shared" si="7"/>
        <v>0</v>
      </c>
      <c r="K26" s="40">
        <f t="shared" si="7"/>
        <v>0</v>
      </c>
      <c r="L26" s="40">
        <f t="shared" si="7"/>
        <v>0</v>
      </c>
      <c r="M26" s="40">
        <f t="shared" si="7"/>
        <v>0</v>
      </c>
      <c r="N26" s="40">
        <f t="shared" si="7"/>
        <v>1</v>
      </c>
      <c r="O26" s="40">
        <f t="shared" si="7"/>
        <v>1</v>
      </c>
      <c r="P26" s="40">
        <f t="shared" si="7"/>
        <v>1</v>
      </c>
      <c r="Q26" s="40">
        <f t="shared" si="7"/>
        <v>1</v>
      </c>
      <c r="R26" s="40">
        <f t="shared" si="7"/>
        <v>1</v>
      </c>
      <c r="S26" s="40">
        <f t="shared" si="7"/>
        <v>1</v>
      </c>
      <c r="T26" s="40">
        <f t="shared" si="7"/>
        <v>0</v>
      </c>
      <c r="U26" s="40">
        <f t="shared" si="7"/>
        <v>0</v>
      </c>
      <c r="V26" s="40">
        <f t="shared" si="7"/>
        <v>0</v>
      </c>
      <c r="W26" s="40">
        <f t="shared" si="7"/>
        <v>1</v>
      </c>
      <c r="X26" s="40">
        <f t="shared" si="7"/>
        <v>0</v>
      </c>
      <c r="Y26" s="40">
        <f t="shared" si="7"/>
        <v>0</v>
      </c>
      <c r="Z26" s="40">
        <f t="shared" si="7"/>
        <v>0</v>
      </c>
      <c r="AA26" s="40">
        <f t="shared" si="7"/>
        <v>0</v>
      </c>
      <c r="AB26" s="40">
        <f t="shared" si="7"/>
        <v>0</v>
      </c>
      <c r="AC26" s="40">
        <f t="shared" si="7"/>
        <v>0</v>
      </c>
      <c r="AD26" s="40">
        <f t="shared" si="7"/>
        <v>0</v>
      </c>
      <c r="AE26" s="40">
        <f t="shared" si="7"/>
        <v>0</v>
      </c>
      <c r="AF26" s="40">
        <f t="shared" si="7"/>
        <v>0</v>
      </c>
      <c r="AG26" s="40">
        <f t="shared" si="6"/>
        <v>1</v>
      </c>
    </row>
    <row r="27" spans="1:33" ht="42" customHeight="1">
      <c r="B27" s="42">
        <v>2</v>
      </c>
      <c r="C27" s="40">
        <f t="shared" si="6"/>
        <v>0</v>
      </c>
      <c r="D27" s="40">
        <f t="shared" ref="D27:AF27" si="8">IF(D4=1,1,0)</f>
        <v>1</v>
      </c>
      <c r="E27" s="40">
        <f t="shared" si="8"/>
        <v>1</v>
      </c>
      <c r="F27" s="40">
        <f t="shared" si="8"/>
        <v>1</v>
      </c>
      <c r="G27" s="40">
        <f t="shared" si="8"/>
        <v>0</v>
      </c>
      <c r="H27" s="40">
        <f t="shared" si="8"/>
        <v>0</v>
      </c>
      <c r="I27" s="40">
        <f t="shared" si="8"/>
        <v>0</v>
      </c>
      <c r="J27" s="40">
        <f t="shared" si="8"/>
        <v>1</v>
      </c>
      <c r="K27" s="40">
        <f t="shared" si="8"/>
        <v>1</v>
      </c>
      <c r="L27" s="40">
        <f t="shared" si="8"/>
        <v>1</v>
      </c>
      <c r="M27" s="40">
        <f t="shared" si="8"/>
        <v>0</v>
      </c>
      <c r="N27" s="40">
        <f t="shared" si="8"/>
        <v>0</v>
      </c>
      <c r="O27" s="40">
        <f t="shared" si="8"/>
        <v>0</v>
      </c>
      <c r="P27" s="40">
        <f t="shared" si="8"/>
        <v>1</v>
      </c>
      <c r="Q27" s="40">
        <f t="shared" si="8"/>
        <v>1</v>
      </c>
      <c r="R27" s="40">
        <f t="shared" si="8"/>
        <v>1</v>
      </c>
      <c r="S27" s="40">
        <f t="shared" si="8"/>
        <v>1</v>
      </c>
      <c r="T27" s="40">
        <f t="shared" si="8"/>
        <v>0</v>
      </c>
      <c r="U27" s="40">
        <f t="shared" si="8"/>
        <v>0</v>
      </c>
      <c r="V27" s="40">
        <f t="shared" si="8"/>
        <v>0</v>
      </c>
      <c r="W27" s="40">
        <f t="shared" si="8"/>
        <v>1</v>
      </c>
      <c r="X27" s="40">
        <f t="shared" si="8"/>
        <v>0</v>
      </c>
      <c r="Y27" s="40">
        <f t="shared" si="8"/>
        <v>0</v>
      </c>
      <c r="Z27" s="40">
        <f t="shared" si="8"/>
        <v>0</v>
      </c>
      <c r="AA27" s="40">
        <f t="shared" si="8"/>
        <v>0</v>
      </c>
      <c r="AB27" s="40">
        <f t="shared" si="8"/>
        <v>0</v>
      </c>
      <c r="AC27" s="40">
        <f t="shared" si="8"/>
        <v>0</v>
      </c>
      <c r="AD27" s="40">
        <f t="shared" si="8"/>
        <v>0</v>
      </c>
      <c r="AE27" s="40">
        <f t="shared" si="8"/>
        <v>0</v>
      </c>
      <c r="AF27" s="40">
        <f t="shared" si="8"/>
        <v>0</v>
      </c>
      <c r="AG27" s="40">
        <f t="shared" si="6"/>
        <v>1</v>
      </c>
    </row>
    <row r="28" spans="1:33" ht="42" customHeight="1">
      <c r="B28" s="43">
        <v>3</v>
      </c>
      <c r="C28" s="40">
        <f t="shared" si="6"/>
        <v>0</v>
      </c>
      <c r="D28" s="40">
        <f t="shared" ref="D28:AF28" si="9">IF(D5=1,1,0)</f>
        <v>0</v>
      </c>
      <c r="E28" s="40">
        <f t="shared" si="9"/>
        <v>0</v>
      </c>
      <c r="F28" s="40">
        <f t="shared" si="9"/>
        <v>0</v>
      </c>
      <c r="G28" s="40">
        <f t="shared" si="9"/>
        <v>0</v>
      </c>
      <c r="H28" s="40">
        <f t="shared" si="9"/>
        <v>0</v>
      </c>
      <c r="I28" s="40">
        <f t="shared" si="9"/>
        <v>1</v>
      </c>
      <c r="J28" s="40">
        <f t="shared" si="9"/>
        <v>0</v>
      </c>
      <c r="K28" s="40">
        <f t="shared" si="9"/>
        <v>0</v>
      </c>
      <c r="L28" s="40">
        <f t="shared" si="9"/>
        <v>0</v>
      </c>
      <c r="M28" s="40">
        <f t="shared" si="9"/>
        <v>1</v>
      </c>
      <c r="N28" s="40">
        <f t="shared" si="9"/>
        <v>1</v>
      </c>
      <c r="O28" s="40">
        <f t="shared" si="9"/>
        <v>1</v>
      </c>
      <c r="P28" s="40">
        <f t="shared" si="9"/>
        <v>0</v>
      </c>
      <c r="Q28" s="40">
        <f t="shared" si="9"/>
        <v>0</v>
      </c>
      <c r="R28" s="40">
        <f t="shared" si="9"/>
        <v>0</v>
      </c>
      <c r="S28" s="40">
        <f t="shared" si="9"/>
        <v>0</v>
      </c>
      <c r="T28" s="40">
        <f t="shared" si="9"/>
        <v>0</v>
      </c>
      <c r="U28" s="40">
        <f t="shared" si="9"/>
        <v>0</v>
      </c>
      <c r="V28" s="40">
        <f t="shared" si="9"/>
        <v>0</v>
      </c>
      <c r="W28" s="40">
        <f t="shared" si="9"/>
        <v>0</v>
      </c>
      <c r="X28" s="40">
        <f t="shared" si="9"/>
        <v>0</v>
      </c>
      <c r="Y28" s="40">
        <f t="shared" si="9"/>
        <v>1</v>
      </c>
      <c r="Z28" s="40">
        <f t="shared" si="9"/>
        <v>1</v>
      </c>
      <c r="AA28" s="40">
        <f t="shared" si="9"/>
        <v>1</v>
      </c>
      <c r="AB28" s="40">
        <f t="shared" si="9"/>
        <v>0</v>
      </c>
      <c r="AC28" s="40">
        <f t="shared" si="9"/>
        <v>0</v>
      </c>
      <c r="AD28" s="40">
        <f t="shared" si="9"/>
        <v>0</v>
      </c>
      <c r="AE28" s="40">
        <f t="shared" si="9"/>
        <v>0</v>
      </c>
      <c r="AF28" s="40">
        <f t="shared" si="9"/>
        <v>0</v>
      </c>
      <c r="AG28" s="40">
        <f t="shared" si="6"/>
        <v>1</v>
      </c>
    </row>
    <row r="29" spans="1:33" ht="42" customHeight="1">
      <c r="B29" s="44">
        <v>4</v>
      </c>
      <c r="C29" s="40">
        <f t="shared" si="6"/>
        <v>1</v>
      </c>
      <c r="D29" s="40">
        <f t="shared" ref="D29:AF29" si="10">IF(D6=1,1,0)</f>
        <v>1</v>
      </c>
      <c r="E29" s="40">
        <f t="shared" si="10"/>
        <v>1</v>
      </c>
      <c r="F29" s="40">
        <f t="shared" si="10"/>
        <v>1</v>
      </c>
      <c r="G29" s="40">
        <f t="shared" si="10"/>
        <v>1</v>
      </c>
      <c r="H29" s="40">
        <f t="shared" si="10"/>
        <v>1</v>
      </c>
      <c r="I29" s="40">
        <f t="shared" si="10"/>
        <v>1</v>
      </c>
      <c r="J29" s="40">
        <f t="shared" si="10"/>
        <v>1</v>
      </c>
      <c r="K29" s="40">
        <f t="shared" si="10"/>
        <v>1</v>
      </c>
      <c r="L29" s="40">
        <f t="shared" si="10"/>
        <v>1</v>
      </c>
      <c r="M29" s="40">
        <f t="shared" si="10"/>
        <v>0</v>
      </c>
      <c r="N29" s="40">
        <f t="shared" si="10"/>
        <v>0</v>
      </c>
      <c r="O29" s="40">
        <f t="shared" si="10"/>
        <v>0</v>
      </c>
      <c r="P29" s="40">
        <f t="shared" si="10"/>
        <v>0</v>
      </c>
      <c r="Q29" s="40">
        <f t="shared" si="10"/>
        <v>1</v>
      </c>
      <c r="R29" s="40">
        <f t="shared" si="10"/>
        <v>1</v>
      </c>
      <c r="S29" s="40">
        <f t="shared" si="10"/>
        <v>1</v>
      </c>
      <c r="T29" s="40">
        <f t="shared" si="10"/>
        <v>1</v>
      </c>
      <c r="U29" s="40">
        <f t="shared" si="10"/>
        <v>1</v>
      </c>
      <c r="V29" s="40">
        <f t="shared" si="10"/>
        <v>1</v>
      </c>
      <c r="W29" s="40">
        <f t="shared" si="10"/>
        <v>1</v>
      </c>
      <c r="X29" s="40">
        <f t="shared" si="10"/>
        <v>1</v>
      </c>
      <c r="Y29" s="40">
        <f t="shared" si="10"/>
        <v>0</v>
      </c>
      <c r="Z29" s="40">
        <f t="shared" si="10"/>
        <v>0</v>
      </c>
      <c r="AA29" s="40">
        <f t="shared" si="10"/>
        <v>0</v>
      </c>
      <c r="AB29" s="40">
        <f t="shared" si="10"/>
        <v>0</v>
      </c>
      <c r="AC29" s="40">
        <f t="shared" si="10"/>
        <v>0</v>
      </c>
      <c r="AD29" s="40">
        <f t="shared" si="10"/>
        <v>0</v>
      </c>
      <c r="AE29" s="40">
        <f t="shared" si="10"/>
        <v>0</v>
      </c>
      <c r="AF29" s="40">
        <f t="shared" si="10"/>
        <v>0</v>
      </c>
      <c r="AG29" s="40">
        <f t="shared" si="6"/>
        <v>1</v>
      </c>
    </row>
    <row r="30" spans="1:33" ht="42" customHeight="1">
      <c r="B30" s="44">
        <v>5</v>
      </c>
      <c r="C30" s="40">
        <f t="shared" si="6"/>
        <v>0</v>
      </c>
      <c r="D30" s="40">
        <f t="shared" ref="D30:AF30" si="11">IF(D7=1,1,0)</f>
        <v>0</v>
      </c>
      <c r="E30" s="40">
        <f t="shared" si="11"/>
        <v>0</v>
      </c>
      <c r="F30" s="40">
        <f t="shared" si="11"/>
        <v>0</v>
      </c>
      <c r="G30" s="40">
        <f t="shared" si="11"/>
        <v>1</v>
      </c>
      <c r="H30" s="40">
        <f t="shared" si="11"/>
        <v>1</v>
      </c>
      <c r="I30" s="40">
        <f t="shared" si="11"/>
        <v>1</v>
      </c>
      <c r="J30" s="40">
        <f t="shared" si="11"/>
        <v>1</v>
      </c>
      <c r="K30" s="40">
        <f t="shared" si="11"/>
        <v>1</v>
      </c>
      <c r="L30" s="40">
        <f t="shared" si="11"/>
        <v>1</v>
      </c>
      <c r="M30" s="40">
        <f t="shared" si="11"/>
        <v>1</v>
      </c>
      <c r="N30" s="40">
        <f t="shared" si="11"/>
        <v>1</v>
      </c>
      <c r="O30" s="40">
        <f t="shared" si="11"/>
        <v>1</v>
      </c>
      <c r="P30" s="40">
        <f t="shared" si="11"/>
        <v>1</v>
      </c>
      <c r="Q30" s="40">
        <f t="shared" si="11"/>
        <v>1</v>
      </c>
      <c r="R30" s="40">
        <f t="shared" si="11"/>
        <v>1</v>
      </c>
      <c r="S30" s="40">
        <f t="shared" si="11"/>
        <v>1</v>
      </c>
      <c r="T30" s="40">
        <f t="shared" si="11"/>
        <v>1</v>
      </c>
      <c r="U30" s="40">
        <f t="shared" si="11"/>
        <v>1</v>
      </c>
      <c r="V30" s="40">
        <f t="shared" si="11"/>
        <v>1</v>
      </c>
      <c r="W30" s="40">
        <f t="shared" si="11"/>
        <v>1</v>
      </c>
      <c r="X30" s="40">
        <f t="shared" si="11"/>
        <v>1</v>
      </c>
      <c r="Y30" s="40">
        <f t="shared" si="11"/>
        <v>1</v>
      </c>
      <c r="Z30" s="40">
        <f t="shared" si="11"/>
        <v>1</v>
      </c>
      <c r="AA30" s="40">
        <f t="shared" si="11"/>
        <v>1</v>
      </c>
      <c r="AB30" s="40">
        <f t="shared" si="11"/>
        <v>1</v>
      </c>
      <c r="AC30" s="40">
        <f t="shared" si="11"/>
        <v>1</v>
      </c>
      <c r="AD30" s="40">
        <f t="shared" si="11"/>
        <v>1</v>
      </c>
      <c r="AE30" s="40">
        <f t="shared" si="11"/>
        <v>1</v>
      </c>
      <c r="AF30" s="40">
        <f t="shared" si="11"/>
        <v>1</v>
      </c>
      <c r="AG30" s="40">
        <f t="shared" si="6"/>
        <v>1</v>
      </c>
    </row>
    <row r="31" spans="1:33" ht="42" customHeight="1">
      <c r="B31" s="42">
        <v>6</v>
      </c>
      <c r="C31" s="40">
        <f t="shared" si="6"/>
        <v>0</v>
      </c>
      <c r="D31" s="40">
        <f t="shared" ref="D31:AF31" si="12">IF(D8=1,1,0)</f>
        <v>0</v>
      </c>
      <c r="E31" s="40">
        <f t="shared" si="12"/>
        <v>0</v>
      </c>
      <c r="F31" s="40">
        <f t="shared" si="12"/>
        <v>0</v>
      </c>
      <c r="G31" s="40">
        <f t="shared" si="12"/>
        <v>1</v>
      </c>
      <c r="H31" s="40">
        <f t="shared" si="12"/>
        <v>1</v>
      </c>
      <c r="I31" s="40">
        <f t="shared" si="12"/>
        <v>1</v>
      </c>
      <c r="J31" s="40">
        <f t="shared" si="12"/>
        <v>1</v>
      </c>
      <c r="K31" s="40">
        <f t="shared" si="12"/>
        <v>1</v>
      </c>
      <c r="L31" s="40">
        <f t="shared" si="12"/>
        <v>0</v>
      </c>
      <c r="M31" s="40">
        <f t="shared" si="12"/>
        <v>0</v>
      </c>
      <c r="N31" s="40">
        <f t="shared" si="12"/>
        <v>0</v>
      </c>
      <c r="O31" s="40">
        <f t="shared" si="12"/>
        <v>1</v>
      </c>
      <c r="P31" s="40">
        <f t="shared" si="12"/>
        <v>1</v>
      </c>
      <c r="Q31" s="40">
        <f t="shared" si="12"/>
        <v>1</v>
      </c>
      <c r="R31" s="40">
        <f t="shared" si="12"/>
        <v>0</v>
      </c>
      <c r="S31" s="40">
        <f t="shared" si="12"/>
        <v>0</v>
      </c>
      <c r="T31" s="40">
        <f t="shared" si="12"/>
        <v>0</v>
      </c>
      <c r="U31" s="40">
        <f t="shared" si="12"/>
        <v>0</v>
      </c>
      <c r="V31" s="40">
        <f t="shared" si="12"/>
        <v>0</v>
      </c>
      <c r="W31" s="40">
        <f t="shared" si="12"/>
        <v>0</v>
      </c>
      <c r="X31" s="40">
        <f t="shared" si="12"/>
        <v>0</v>
      </c>
      <c r="Y31" s="40">
        <f t="shared" si="12"/>
        <v>0</v>
      </c>
      <c r="Z31" s="40">
        <f t="shared" si="12"/>
        <v>0</v>
      </c>
      <c r="AA31" s="40">
        <f t="shared" si="12"/>
        <v>1</v>
      </c>
      <c r="AB31" s="40">
        <f t="shared" si="12"/>
        <v>0</v>
      </c>
      <c r="AC31" s="40">
        <f t="shared" si="12"/>
        <v>0</v>
      </c>
      <c r="AD31" s="40">
        <f t="shared" si="12"/>
        <v>0</v>
      </c>
      <c r="AE31" s="40">
        <f t="shared" si="12"/>
        <v>1</v>
      </c>
      <c r="AF31" s="40">
        <f t="shared" si="12"/>
        <v>1</v>
      </c>
      <c r="AG31" s="40">
        <f t="shared" si="6"/>
        <v>1</v>
      </c>
    </row>
    <row r="32" spans="1:33" ht="42" customHeight="1">
      <c r="B32" s="42">
        <v>7</v>
      </c>
      <c r="C32" s="40">
        <f t="shared" si="6"/>
        <v>1</v>
      </c>
      <c r="D32" s="40">
        <f t="shared" ref="D32:AF32" si="13">IF(D9=1,1,0)</f>
        <v>1</v>
      </c>
      <c r="E32" s="40">
        <f t="shared" si="13"/>
        <v>0</v>
      </c>
      <c r="F32" s="40">
        <f t="shared" si="13"/>
        <v>0</v>
      </c>
      <c r="G32" s="40">
        <f t="shared" si="13"/>
        <v>0</v>
      </c>
      <c r="H32" s="40">
        <f t="shared" si="13"/>
        <v>0</v>
      </c>
      <c r="I32" s="40">
        <f t="shared" si="13"/>
        <v>0</v>
      </c>
      <c r="J32" s="40">
        <f t="shared" si="13"/>
        <v>0</v>
      </c>
      <c r="K32" s="40">
        <f t="shared" si="13"/>
        <v>0</v>
      </c>
      <c r="L32" s="40">
        <f t="shared" si="13"/>
        <v>0</v>
      </c>
      <c r="M32" s="40">
        <f t="shared" si="13"/>
        <v>0</v>
      </c>
      <c r="N32" s="40">
        <f t="shared" si="13"/>
        <v>0</v>
      </c>
      <c r="O32" s="40">
        <f t="shared" si="13"/>
        <v>1</v>
      </c>
      <c r="P32" s="40">
        <f t="shared" si="13"/>
        <v>1</v>
      </c>
      <c r="Q32" s="40">
        <f t="shared" si="13"/>
        <v>1</v>
      </c>
      <c r="R32" s="40">
        <f t="shared" si="13"/>
        <v>1</v>
      </c>
      <c r="S32" s="40">
        <f t="shared" si="13"/>
        <v>1</v>
      </c>
      <c r="T32" s="40">
        <f t="shared" si="13"/>
        <v>1</v>
      </c>
      <c r="U32" s="40">
        <f t="shared" si="13"/>
        <v>0</v>
      </c>
      <c r="V32" s="40">
        <f t="shared" si="13"/>
        <v>0</v>
      </c>
      <c r="W32" s="40">
        <f t="shared" si="13"/>
        <v>0</v>
      </c>
      <c r="X32" s="40">
        <f t="shared" si="13"/>
        <v>0</v>
      </c>
      <c r="Y32" s="40">
        <f t="shared" si="13"/>
        <v>0</v>
      </c>
      <c r="Z32" s="40">
        <f t="shared" si="13"/>
        <v>0</v>
      </c>
      <c r="AA32" s="40">
        <f t="shared" si="13"/>
        <v>1</v>
      </c>
      <c r="AB32" s="40">
        <f t="shared" si="13"/>
        <v>1</v>
      </c>
      <c r="AC32" s="40">
        <f t="shared" si="13"/>
        <v>1</v>
      </c>
      <c r="AD32" s="40">
        <f t="shared" si="13"/>
        <v>0</v>
      </c>
      <c r="AE32" s="40">
        <f t="shared" si="13"/>
        <v>0</v>
      </c>
      <c r="AF32" s="40">
        <f t="shared" si="13"/>
        <v>0</v>
      </c>
      <c r="AG32" s="40">
        <f t="shared" si="6"/>
        <v>1</v>
      </c>
    </row>
    <row r="33" spans="2:33" ht="42" customHeight="1">
      <c r="B33" s="42">
        <v>8</v>
      </c>
      <c r="C33" s="40">
        <f t="shared" si="6"/>
        <v>1</v>
      </c>
      <c r="D33" s="40">
        <f t="shared" ref="D33:AF33" si="14">IF(D10=1,1,0)</f>
        <v>1</v>
      </c>
      <c r="E33" s="40">
        <f t="shared" si="14"/>
        <v>1</v>
      </c>
      <c r="F33" s="40">
        <f t="shared" si="14"/>
        <v>1</v>
      </c>
      <c r="G33" s="40">
        <f t="shared" si="14"/>
        <v>1</v>
      </c>
      <c r="H33" s="40">
        <f t="shared" si="14"/>
        <v>1</v>
      </c>
      <c r="I33" s="40">
        <f t="shared" si="14"/>
        <v>1</v>
      </c>
      <c r="J33" s="40">
        <f t="shared" si="14"/>
        <v>1</v>
      </c>
      <c r="K33" s="40">
        <f t="shared" si="14"/>
        <v>1</v>
      </c>
      <c r="L33" s="40">
        <f t="shared" si="14"/>
        <v>1</v>
      </c>
      <c r="M33" s="40">
        <f t="shared" si="14"/>
        <v>1</v>
      </c>
      <c r="N33" s="40">
        <f t="shared" si="14"/>
        <v>1</v>
      </c>
      <c r="O33" s="40">
        <f t="shared" si="14"/>
        <v>1</v>
      </c>
      <c r="P33" s="40">
        <f t="shared" si="14"/>
        <v>0</v>
      </c>
      <c r="Q33" s="40">
        <f t="shared" si="14"/>
        <v>0</v>
      </c>
      <c r="R33" s="40">
        <f t="shared" si="14"/>
        <v>0</v>
      </c>
      <c r="S33" s="40">
        <f t="shared" si="14"/>
        <v>1</v>
      </c>
      <c r="T33" s="40">
        <f t="shared" si="14"/>
        <v>1</v>
      </c>
      <c r="U33" s="40">
        <f t="shared" si="14"/>
        <v>1</v>
      </c>
      <c r="V33" s="40">
        <f t="shared" si="14"/>
        <v>1</v>
      </c>
      <c r="W33" s="40">
        <f t="shared" si="14"/>
        <v>1</v>
      </c>
      <c r="X33" s="40">
        <f t="shared" si="14"/>
        <v>0</v>
      </c>
      <c r="Y33" s="40">
        <f t="shared" si="14"/>
        <v>0</v>
      </c>
      <c r="Z33" s="40">
        <f t="shared" si="14"/>
        <v>0</v>
      </c>
      <c r="AA33" s="40">
        <f t="shared" si="14"/>
        <v>1</v>
      </c>
      <c r="AB33" s="40">
        <f t="shared" si="14"/>
        <v>1</v>
      </c>
      <c r="AC33" s="40">
        <f t="shared" si="14"/>
        <v>1</v>
      </c>
      <c r="AD33" s="40">
        <f t="shared" si="14"/>
        <v>1</v>
      </c>
      <c r="AE33" s="40">
        <f t="shared" si="14"/>
        <v>1</v>
      </c>
      <c r="AF33" s="40">
        <f t="shared" si="14"/>
        <v>1</v>
      </c>
      <c r="AG33" s="40">
        <f t="shared" si="6"/>
        <v>1</v>
      </c>
    </row>
    <row r="34" spans="2:33" ht="42" customHeight="1">
      <c r="B34" s="43">
        <v>9</v>
      </c>
      <c r="C34" s="40">
        <f t="shared" si="6"/>
        <v>1</v>
      </c>
      <c r="D34" s="40">
        <f t="shared" ref="D34:AF34" si="15">IF(D11=1,1,0)</f>
        <v>0</v>
      </c>
      <c r="E34" s="40">
        <f t="shared" si="15"/>
        <v>0</v>
      </c>
      <c r="F34" s="40">
        <f t="shared" si="15"/>
        <v>0</v>
      </c>
      <c r="G34" s="40">
        <f t="shared" si="15"/>
        <v>1</v>
      </c>
      <c r="H34" s="40">
        <f t="shared" si="15"/>
        <v>0</v>
      </c>
      <c r="I34" s="40">
        <f t="shared" si="15"/>
        <v>0</v>
      </c>
      <c r="J34" s="40">
        <f t="shared" si="15"/>
        <v>0</v>
      </c>
      <c r="K34" s="40">
        <f t="shared" si="15"/>
        <v>0</v>
      </c>
      <c r="L34" s="40">
        <f t="shared" si="15"/>
        <v>0</v>
      </c>
      <c r="M34" s="40">
        <f t="shared" si="15"/>
        <v>1</v>
      </c>
      <c r="N34" s="40">
        <f t="shared" si="15"/>
        <v>1</v>
      </c>
      <c r="O34" s="40">
        <f t="shared" si="15"/>
        <v>1</v>
      </c>
      <c r="P34" s="40">
        <f t="shared" si="15"/>
        <v>0</v>
      </c>
      <c r="Q34" s="40">
        <f t="shared" si="15"/>
        <v>0</v>
      </c>
      <c r="R34" s="40">
        <f t="shared" si="15"/>
        <v>0</v>
      </c>
      <c r="S34" s="40">
        <f t="shared" si="15"/>
        <v>1</v>
      </c>
      <c r="T34" s="40">
        <f t="shared" si="15"/>
        <v>1</v>
      </c>
      <c r="U34" s="40">
        <f t="shared" si="15"/>
        <v>1</v>
      </c>
      <c r="V34" s="40">
        <f t="shared" si="15"/>
        <v>0</v>
      </c>
      <c r="W34" s="40">
        <f t="shared" si="15"/>
        <v>0</v>
      </c>
      <c r="X34" s="40">
        <f t="shared" si="15"/>
        <v>0</v>
      </c>
      <c r="Y34" s="40">
        <f t="shared" si="15"/>
        <v>1</v>
      </c>
      <c r="Z34" s="40">
        <f t="shared" si="15"/>
        <v>1</v>
      </c>
      <c r="AA34" s="40">
        <f t="shared" si="15"/>
        <v>1</v>
      </c>
      <c r="AB34" s="40">
        <f t="shared" si="15"/>
        <v>1</v>
      </c>
      <c r="AC34" s="40">
        <f t="shared" si="15"/>
        <v>1</v>
      </c>
      <c r="AD34" s="40">
        <f t="shared" si="15"/>
        <v>0</v>
      </c>
      <c r="AE34" s="40">
        <f t="shared" si="15"/>
        <v>0</v>
      </c>
      <c r="AF34" s="40">
        <f t="shared" si="15"/>
        <v>0</v>
      </c>
      <c r="AG34" s="40">
        <f t="shared" ref="AG34:AG38" si="16">IF(AG11=1,1,0)</f>
        <v>1</v>
      </c>
    </row>
    <row r="35" spans="2:33" ht="42" customHeight="1">
      <c r="B35" s="44">
        <v>10</v>
      </c>
      <c r="C35" s="40">
        <f t="shared" ref="C35:C38" si="17">IF(C12=1,1,0)</f>
        <v>1</v>
      </c>
      <c r="D35" s="40">
        <f t="shared" ref="D35:AF35" si="18">IF(D12=1,1,0)</f>
        <v>1</v>
      </c>
      <c r="E35" s="40">
        <f t="shared" si="18"/>
        <v>1</v>
      </c>
      <c r="F35" s="40">
        <f t="shared" si="18"/>
        <v>1</v>
      </c>
      <c r="G35" s="40">
        <f t="shared" si="18"/>
        <v>1</v>
      </c>
      <c r="H35" s="40">
        <f t="shared" si="18"/>
        <v>1</v>
      </c>
      <c r="I35" s="40">
        <f t="shared" si="18"/>
        <v>1</v>
      </c>
      <c r="J35" s="40">
        <f t="shared" si="18"/>
        <v>1</v>
      </c>
      <c r="K35" s="40">
        <f t="shared" si="18"/>
        <v>1</v>
      </c>
      <c r="L35" s="40">
        <f t="shared" si="18"/>
        <v>1</v>
      </c>
      <c r="M35" s="40">
        <f t="shared" si="18"/>
        <v>1</v>
      </c>
      <c r="N35" s="40">
        <f t="shared" si="18"/>
        <v>1</v>
      </c>
      <c r="O35" s="40">
        <f t="shared" si="18"/>
        <v>1</v>
      </c>
      <c r="P35" s="40">
        <f t="shared" si="18"/>
        <v>1</v>
      </c>
      <c r="Q35" s="40">
        <f t="shared" si="18"/>
        <v>1</v>
      </c>
      <c r="R35" s="40">
        <f t="shared" si="18"/>
        <v>1</v>
      </c>
      <c r="S35" s="40">
        <f t="shared" si="18"/>
        <v>1</v>
      </c>
      <c r="T35" s="40">
        <f t="shared" si="18"/>
        <v>1</v>
      </c>
      <c r="U35" s="40">
        <f t="shared" si="18"/>
        <v>1</v>
      </c>
      <c r="V35" s="40">
        <f t="shared" si="18"/>
        <v>1</v>
      </c>
      <c r="W35" s="40">
        <f t="shared" si="18"/>
        <v>1</v>
      </c>
      <c r="X35" s="40">
        <f t="shared" si="18"/>
        <v>1</v>
      </c>
      <c r="Y35" s="40">
        <f t="shared" si="18"/>
        <v>1</v>
      </c>
      <c r="Z35" s="40">
        <f t="shared" si="18"/>
        <v>1</v>
      </c>
      <c r="AA35" s="40">
        <f t="shared" si="18"/>
        <v>1</v>
      </c>
      <c r="AB35" s="40">
        <f t="shared" si="18"/>
        <v>1</v>
      </c>
      <c r="AC35" s="40">
        <f t="shared" si="18"/>
        <v>1</v>
      </c>
      <c r="AD35" s="40">
        <f t="shared" si="18"/>
        <v>1</v>
      </c>
      <c r="AE35" s="40">
        <f t="shared" si="18"/>
        <v>1</v>
      </c>
      <c r="AF35" s="40">
        <f t="shared" si="18"/>
        <v>1</v>
      </c>
      <c r="AG35" s="40">
        <f t="shared" si="16"/>
        <v>1</v>
      </c>
    </row>
    <row r="36" spans="2:33" ht="42" customHeight="1">
      <c r="B36" s="44">
        <v>11</v>
      </c>
      <c r="C36" s="40">
        <f t="shared" si="17"/>
        <v>1</v>
      </c>
      <c r="D36" s="40">
        <f t="shared" ref="D36:AF36" si="19">IF(D13=1,1,0)</f>
        <v>1</v>
      </c>
      <c r="E36" s="40">
        <f t="shared" si="19"/>
        <v>1</v>
      </c>
      <c r="F36" s="40">
        <f t="shared" si="19"/>
        <v>1</v>
      </c>
      <c r="G36" s="40">
        <f t="shared" si="19"/>
        <v>1</v>
      </c>
      <c r="H36" s="40">
        <f t="shared" si="19"/>
        <v>1</v>
      </c>
      <c r="I36" s="40">
        <f t="shared" si="19"/>
        <v>1</v>
      </c>
      <c r="J36" s="40">
        <f t="shared" si="19"/>
        <v>1</v>
      </c>
      <c r="K36" s="40">
        <f t="shared" si="19"/>
        <v>1</v>
      </c>
      <c r="L36" s="40">
        <f t="shared" si="19"/>
        <v>1</v>
      </c>
      <c r="M36" s="40">
        <f t="shared" si="19"/>
        <v>1</v>
      </c>
      <c r="N36" s="40">
        <f t="shared" si="19"/>
        <v>1</v>
      </c>
      <c r="O36" s="40">
        <f t="shared" si="19"/>
        <v>1</v>
      </c>
      <c r="P36" s="40">
        <f t="shared" si="19"/>
        <v>1</v>
      </c>
      <c r="Q36" s="40">
        <f t="shared" si="19"/>
        <v>1</v>
      </c>
      <c r="R36" s="40">
        <f t="shared" si="19"/>
        <v>1</v>
      </c>
      <c r="S36" s="40">
        <f t="shared" si="19"/>
        <v>1</v>
      </c>
      <c r="T36" s="40">
        <f t="shared" si="19"/>
        <v>1</v>
      </c>
      <c r="U36" s="40">
        <f t="shared" si="19"/>
        <v>1</v>
      </c>
      <c r="V36" s="40">
        <f t="shared" si="19"/>
        <v>1</v>
      </c>
      <c r="W36" s="40">
        <f t="shared" si="19"/>
        <v>1</v>
      </c>
      <c r="X36" s="40">
        <f t="shared" si="19"/>
        <v>1</v>
      </c>
      <c r="Y36" s="40">
        <f t="shared" si="19"/>
        <v>1</v>
      </c>
      <c r="Z36" s="40">
        <f t="shared" si="19"/>
        <v>1</v>
      </c>
      <c r="AA36" s="40">
        <f t="shared" si="19"/>
        <v>1</v>
      </c>
      <c r="AB36" s="40">
        <f t="shared" si="19"/>
        <v>1</v>
      </c>
      <c r="AC36" s="40">
        <f t="shared" si="19"/>
        <v>1</v>
      </c>
      <c r="AD36" s="40">
        <f t="shared" si="19"/>
        <v>1</v>
      </c>
      <c r="AE36" s="40">
        <f t="shared" si="19"/>
        <v>1</v>
      </c>
      <c r="AF36" s="40">
        <f t="shared" si="19"/>
        <v>1</v>
      </c>
      <c r="AG36" s="40">
        <f t="shared" si="16"/>
        <v>1</v>
      </c>
    </row>
    <row r="37" spans="2:33" ht="42" customHeight="1">
      <c r="B37" s="42">
        <v>12</v>
      </c>
      <c r="C37" s="40">
        <f t="shared" si="17"/>
        <v>0</v>
      </c>
      <c r="D37" s="40">
        <f t="shared" ref="D37:AF37" si="20">IF(D14=1,1,0)</f>
        <v>1</v>
      </c>
      <c r="E37" s="40">
        <f t="shared" si="20"/>
        <v>1</v>
      </c>
      <c r="F37" s="40">
        <f t="shared" si="20"/>
        <v>0</v>
      </c>
      <c r="G37" s="40">
        <f t="shared" si="20"/>
        <v>0</v>
      </c>
      <c r="H37" s="40">
        <f t="shared" si="20"/>
        <v>0</v>
      </c>
      <c r="I37" s="40">
        <f t="shared" si="20"/>
        <v>0</v>
      </c>
      <c r="J37" s="40">
        <f t="shared" si="20"/>
        <v>0</v>
      </c>
      <c r="K37" s="40">
        <f t="shared" si="20"/>
        <v>1</v>
      </c>
      <c r="L37" s="40">
        <f t="shared" si="20"/>
        <v>1</v>
      </c>
      <c r="M37" s="40">
        <f t="shared" si="20"/>
        <v>1</v>
      </c>
      <c r="N37" s="40">
        <f t="shared" si="20"/>
        <v>1</v>
      </c>
      <c r="O37" s="40">
        <f t="shared" si="20"/>
        <v>1</v>
      </c>
      <c r="P37" s="40">
        <f t="shared" si="20"/>
        <v>1</v>
      </c>
      <c r="Q37" s="40">
        <f t="shared" si="20"/>
        <v>1</v>
      </c>
      <c r="R37" s="40">
        <f t="shared" si="20"/>
        <v>1</v>
      </c>
      <c r="S37" s="40">
        <f t="shared" si="20"/>
        <v>1</v>
      </c>
      <c r="T37" s="40">
        <f t="shared" si="20"/>
        <v>1</v>
      </c>
      <c r="U37" s="40">
        <f t="shared" si="20"/>
        <v>1</v>
      </c>
      <c r="V37" s="40">
        <f t="shared" si="20"/>
        <v>1</v>
      </c>
      <c r="W37" s="40">
        <f t="shared" si="20"/>
        <v>1</v>
      </c>
      <c r="X37" s="40">
        <f t="shared" si="20"/>
        <v>1</v>
      </c>
      <c r="Y37" s="40">
        <f t="shared" si="20"/>
        <v>1</v>
      </c>
      <c r="Z37" s="40">
        <f t="shared" si="20"/>
        <v>1</v>
      </c>
      <c r="AA37" s="40">
        <f t="shared" si="20"/>
        <v>1</v>
      </c>
      <c r="AB37" s="40">
        <f t="shared" si="20"/>
        <v>1</v>
      </c>
      <c r="AC37" s="40">
        <f t="shared" si="20"/>
        <v>1</v>
      </c>
      <c r="AD37" s="40">
        <f t="shared" si="20"/>
        <v>1</v>
      </c>
      <c r="AE37" s="40">
        <f t="shared" si="20"/>
        <v>1</v>
      </c>
      <c r="AF37" s="40">
        <f t="shared" si="20"/>
        <v>1</v>
      </c>
      <c r="AG37" s="40">
        <f t="shared" si="16"/>
        <v>1</v>
      </c>
    </row>
    <row r="38" spans="2:33" ht="42" customHeight="1">
      <c r="B38" s="45" t="s">
        <v>111</v>
      </c>
      <c r="C38" s="40">
        <f t="shared" si="17"/>
        <v>1</v>
      </c>
      <c r="D38" s="40">
        <f t="shared" ref="D38:AF38" si="21">IF(D15=1,1,0)</f>
        <v>1</v>
      </c>
      <c r="E38" s="40">
        <f t="shared" si="21"/>
        <v>1</v>
      </c>
      <c r="F38" s="40">
        <f t="shared" si="21"/>
        <v>0</v>
      </c>
      <c r="G38" s="40">
        <f t="shared" si="21"/>
        <v>0</v>
      </c>
      <c r="H38" s="40">
        <f t="shared" si="21"/>
        <v>0</v>
      </c>
      <c r="I38" s="40">
        <f t="shared" si="21"/>
        <v>1</v>
      </c>
      <c r="J38" s="40">
        <f t="shared" si="21"/>
        <v>1</v>
      </c>
      <c r="K38" s="40">
        <f t="shared" si="21"/>
        <v>1</v>
      </c>
      <c r="L38" s="40">
        <f t="shared" si="21"/>
        <v>1</v>
      </c>
      <c r="M38" s="40">
        <f t="shared" si="21"/>
        <v>1</v>
      </c>
      <c r="N38" s="40">
        <f t="shared" si="21"/>
        <v>1</v>
      </c>
      <c r="O38" s="40">
        <f t="shared" si="21"/>
        <v>1</v>
      </c>
      <c r="P38" s="40">
        <f t="shared" si="21"/>
        <v>0</v>
      </c>
      <c r="Q38" s="40">
        <f t="shared" si="21"/>
        <v>0</v>
      </c>
      <c r="R38" s="40">
        <f t="shared" si="21"/>
        <v>0</v>
      </c>
      <c r="S38" s="40">
        <f t="shared" si="21"/>
        <v>1</v>
      </c>
      <c r="T38" s="40">
        <f t="shared" si="21"/>
        <v>1</v>
      </c>
      <c r="U38" s="40">
        <f t="shared" si="21"/>
        <v>1</v>
      </c>
      <c r="V38" s="40">
        <f t="shared" si="21"/>
        <v>1</v>
      </c>
      <c r="W38" s="40">
        <f t="shared" si="21"/>
        <v>1</v>
      </c>
      <c r="X38" s="40">
        <f t="shared" si="21"/>
        <v>1</v>
      </c>
      <c r="Y38" s="40">
        <f t="shared" si="21"/>
        <v>1</v>
      </c>
      <c r="Z38" s="40">
        <f t="shared" si="21"/>
        <v>1</v>
      </c>
      <c r="AA38" s="40">
        <f t="shared" si="21"/>
        <v>1</v>
      </c>
      <c r="AB38" s="40">
        <f t="shared" si="21"/>
        <v>1</v>
      </c>
      <c r="AC38" s="40">
        <f t="shared" si="21"/>
        <v>1</v>
      </c>
      <c r="AD38" s="40">
        <f t="shared" si="21"/>
        <v>1</v>
      </c>
      <c r="AE38" s="40">
        <f t="shared" si="21"/>
        <v>1</v>
      </c>
      <c r="AF38" s="40">
        <f t="shared" si="21"/>
        <v>1</v>
      </c>
      <c r="AG38" s="40">
        <f t="shared" si="16"/>
        <v>1</v>
      </c>
    </row>
  </sheetData>
  <mergeCells count="31">
    <mergeCell ref="P15:R15"/>
    <mergeCell ref="F15:H15"/>
    <mergeCell ref="Y6:AF6"/>
    <mergeCell ref="S5:X5"/>
    <mergeCell ref="H11:L11"/>
    <mergeCell ref="V11:X11"/>
    <mergeCell ref="R8:T8"/>
    <mergeCell ref="AD11:AF11"/>
    <mergeCell ref="U8:Z8"/>
    <mergeCell ref="K9:N9"/>
    <mergeCell ref="L8:N8"/>
    <mergeCell ref="AB3:AD5"/>
    <mergeCell ref="AB8:AD8"/>
    <mergeCell ref="P11:R11"/>
    <mergeCell ref="P10:R10"/>
    <mergeCell ref="G4:I4"/>
    <mergeCell ref="M4:O4"/>
    <mergeCell ref="T3:V4"/>
    <mergeCell ref="X4:AA4"/>
    <mergeCell ref="F3:J3"/>
    <mergeCell ref="K3:M3"/>
    <mergeCell ref="D5:F5"/>
    <mergeCell ref="F14:J14"/>
    <mergeCell ref="U9:W9"/>
    <mergeCell ref="M6:P6"/>
    <mergeCell ref="X10:Z10"/>
    <mergeCell ref="E9:G9"/>
    <mergeCell ref="P5:R5"/>
    <mergeCell ref="J5:L5"/>
    <mergeCell ref="C7:F8"/>
    <mergeCell ref="X9:Z9"/>
  </mergeCells>
  <conditionalFormatting sqref="C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887C-8E53-4CBE-B5E6-5DE71C1DDEC8}">
  <sheetPr>
    <tabColor theme="4" tint="0.59999389629810485"/>
  </sheetPr>
  <dimension ref="A1:AF38"/>
  <sheetViews>
    <sheetView zoomScale="40" zoomScaleNormal="40" workbookViewId="0">
      <pane xSplit="2" ySplit="2" topLeftCell="F8" activePane="bottomRight" state="frozen"/>
      <selection pane="bottomRight" activeCell="N14" sqref="N14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16384" width="8.7109375" style="26"/>
  </cols>
  <sheetData>
    <row r="1" spans="1:32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</row>
    <row r="2" spans="1:32" ht="27.75" customHeight="1">
      <c r="A2" s="27"/>
      <c r="B2" s="27"/>
      <c r="C2" s="28" t="s">
        <v>5</v>
      </c>
      <c r="D2" s="29" t="s">
        <v>6</v>
      </c>
      <c r="E2" s="28" t="s">
        <v>7</v>
      </c>
      <c r="F2" s="28" t="s">
        <v>8</v>
      </c>
      <c r="G2" s="30" t="s">
        <v>2</v>
      </c>
      <c r="H2" s="31" t="s">
        <v>3</v>
      </c>
      <c r="I2" s="28" t="s">
        <v>4</v>
      </c>
      <c r="J2" s="28" t="s">
        <v>5</v>
      </c>
      <c r="K2" s="29" t="s">
        <v>6</v>
      </c>
      <c r="L2" s="28" t="s">
        <v>7</v>
      </c>
      <c r="M2" s="28" t="s">
        <v>8</v>
      </c>
      <c r="N2" s="30" t="s">
        <v>2</v>
      </c>
      <c r="O2" s="31" t="s">
        <v>3</v>
      </c>
      <c r="P2" s="28" t="s">
        <v>4</v>
      </c>
      <c r="Q2" s="28" t="s">
        <v>5</v>
      </c>
      <c r="R2" s="29" t="s">
        <v>6</v>
      </c>
      <c r="S2" s="28" t="s">
        <v>7</v>
      </c>
      <c r="T2" s="28" t="s">
        <v>8</v>
      </c>
      <c r="U2" s="30" t="s">
        <v>2</v>
      </c>
      <c r="V2" s="31" t="s">
        <v>3</v>
      </c>
      <c r="W2" s="28" t="s">
        <v>4</v>
      </c>
      <c r="X2" s="28" t="s">
        <v>5</v>
      </c>
      <c r="Y2" s="29" t="s">
        <v>6</v>
      </c>
      <c r="Z2" s="28" t="s">
        <v>7</v>
      </c>
      <c r="AA2" s="28" t="s">
        <v>8</v>
      </c>
      <c r="AB2" s="30" t="s">
        <v>2</v>
      </c>
      <c r="AC2" s="31" t="s">
        <v>3</v>
      </c>
      <c r="AD2" s="28" t="s">
        <v>4</v>
      </c>
      <c r="AE2" s="28" t="s">
        <v>5</v>
      </c>
      <c r="AF2" s="29" t="s">
        <v>6</v>
      </c>
    </row>
    <row r="3" spans="1:32" ht="85.5" customHeight="1">
      <c r="A3" s="32">
        <v>1</v>
      </c>
      <c r="B3" s="33" t="s">
        <v>9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  <c r="H3" s="23">
        <v>1</v>
      </c>
      <c r="I3" s="23">
        <v>1</v>
      </c>
      <c r="J3" s="23">
        <v>1</v>
      </c>
      <c r="K3" s="23">
        <v>1</v>
      </c>
      <c r="L3" s="23">
        <v>1</v>
      </c>
      <c r="M3" s="23">
        <v>1</v>
      </c>
      <c r="N3" s="23">
        <v>1</v>
      </c>
      <c r="O3" s="385" t="s">
        <v>713</v>
      </c>
      <c r="P3" s="283"/>
      <c r="Q3" s="283"/>
      <c r="R3" s="287"/>
      <c r="S3" s="23">
        <v>1</v>
      </c>
      <c r="T3" s="23">
        <v>1</v>
      </c>
      <c r="U3" s="23">
        <v>1</v>
      </c>
      <c r="V3" s="23">
        <v>1</v>
      </c>
      <c r="W3" s="23">
        <v>1</v>
      </c>
      <c r="X3" s="23">
        <v>1</v>
      </c>
      <c r="Y3" s="650" t="s">
        <v>714</v>
      </c>
      <c r="Z3" s="651"/>
      <c r="AA3" s="652"/>
      <c r="AB3" s="23">
        <v>1</v>
      </c>
      <c r="AC3" s="23">
        <v>1</v>
      </c>
      <c r="AD3" s="23">
        <v>1</v>
      </c>
      <c r="AE3" s="23">
        <v>1</v>
      </c>
      <c r="AF3" s="23">
        <v>1</v>
      </c>
    </row>
    <row r="4" spans="1:32" ht="85.5" customHeight="1">
      <c r="A4" s="34">
        <v>2</v>
      </c>
      <c r="B4" s="33" t="s">
        <v>9</v>
      </c>
      <c r="C4" s="23">
        <v>1</v>
      </c>
      <c r="D4" s="546" t="s">
        <v>715</v>
      </c>
      <c r="E4" s="547"/>
      <c r="F4" s="548"/>
      <c r="G4" s="215" t="s">
        <v>716</v>
      </c>
      <c r="H4" s="279"/>
      <c r="I4" s="225"/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1</v>
      </c>
      <c r="P4" s="23">
        <v>1</v>
      </c>
      <c r="Q4" s="23">
        <v>1</v>
      </c>
      <c r="R4" s="23">
        <v>1</v>
      </c>
      <c r="S4" s="23">
        <v>1</v>
      </c>
      <c r="T4" s="23">
        <v>1</v>
      </c>
      <c r="U4" s="215" t="s">
        <v>717</v>
      </c>
      <c r="V4" s="279"/>
      <c r="W4" s="225"/>
      <c r="X4" s="23">
        <v>1</v>
      </c>
      <c r="Y4" s="650"/>
      <c r="Z4" s="653"/>
      <c r="AA4" s="652"/>
      <c r="AB4" s="23">
        <v>1</v>
      </c>
      <c r="AC4" s="23">
        <v>1</v>
      </c>
      <c r="AD4" s="23">
        <v>1</v>
      </c>
      <c r="AE4" s="23">
        <v>1</v>
      </c>
      <c r="AF4" s="23">
        <v>1</v>
      </c>
    </row>
    <row r="5" spans="1:32" ht="108" customHeight="1">
      <c r="A5" s="34">
        <v>3</v>
      </c>
      <c r="B5" s="33" t="s">
        <v>29</v>
      </c>
      <c r="C5" s="23">
        <v>1</v>
      </c>
      <c r="D5" s="23">
        <v>1</v>
      </c>
      <c r="E5" s="23">
        <v>1</v>
      </c>
      <c r="F5" s="23">
        <v>1</v>
      </c>
      <c r="G5" s="23">
        <v>1</v>
      </c>
      <c r="H5" s="23">
        <v>1</v>
      </c>
      <c r="I5" s="215" t="s">
        <v>718</v>
      </c>
      <c r="J5" s="279"/>
      <c r="K5" s="279"/>
      <c r="L5" s="225"/>
      <c r="M5" s="23">
        <v>1</v>
      </c>
      <c r="N5" s="23">
        <v>1</v>
      </c>
      <c r="O5" s="23">
        <v>1</v>
      </c>
      <c r="P5" s="23">
        <v>1</v>
      </c>
      <c r="Q5" s="546" t="s">
        <v>719</v>
      </c>
      <c r="R5" s="547"/>
      <c r="S5" s="547"/>
      <c r="T5" s="547"/>
      <c r="U5" s="548"/>
      <c r="V5" s="23">
        <v>1</v>
      </c>
      <c r="W5" s="23">
        <v>1</v>
      </c>
      <c r="X5" s="65">
        <v>1</v>
      </c>
      <c r="Y5" s="121"/>
      <c r="Z5" s="91"/>
      <c r="AA5" s="91"/>
      <c r="AB5" s="108">
        <v>1</v>
      </c>
      <c r="AC5" s="23">
        <v>1</v>
      </c>
      <c r="AD5" s="23">
        <v>1</v>
      </c>
      <c r="AE5" s="23">
        <v>1</v>
      </c>
      <c r="AF5" s="23">
        <v>1</v>
      </c>
    </row>
    <row r="6" spans="1:32" ht="108" customHeight="1">
      <c r="A6" s="34">
        <v>4</v>
      </c>
      <c r="B6" s="33" t="s">
        <v>37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23">
        <v>1</v>
      </c>
      <c r="I6" s="23">
        <v>1</v>
      </c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23">
        <v>1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X6" s="23">
        <v>1</v>
      </c>
      <c r="Y6" s="47">
        <v>1</v>
      </c>
      <c r="Z6" s="47">
        <v>1</v>
      </c>
      <c r="AA6" s="47">
        <v>1</v>
      </c>
      <c r="AB6" s="23">
        <v>1</v>
      </c>
      <c r="AC6" s="23">
        <v>1</v>
      </c>
      <c r="AD6" s="23">
        <v>1</v>
      </c>
      <c r="AE6" s="23">
        <v>1</v>
      </c>
      <c r="AF6" s="23">
        <v>1</v>
      </c>
    </row>
    <row r="7" spans="1:32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B7" s="23">
        <v>1</v>
      </c>
      <c r="AC7" s="23">
        <v>1</v>
      </c>
      <c r="AD7" s="23">
        <v>1</v>
      </c>
      <c r="AE7" s="23">
        <v>1</v>
      </c>
      <c r="AF7" s="23">
        <v>1</v>
      </c>
    </row>
    <row r="8" spans="1:32" ht="103.35" customHeight="1">
      <c r="A8" s="34">
        <v>6</v>
      </c>
      <c r="B8" s="33" t="s">
        <v>9</v>
      </c>
      <c r="C8" s="23">
        <v>1</v>
      </c>
      <c r="D8" s="23">
        <v>1</v>
      </c>
      <c r="E8" s="23">
        <v>1</v>
      </c>
      <c r="F8" s="23">
        <v>1</v>
      </c>
      <c r="G8" s="23">
        <v>1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  <c r="R8" s="23">
        <v>1</v>
      </c>
      <c r="S8" s="23">
        <v>1</v>
      </c>
      <c r="T8" s="23">
        <v>1</v>
      </c>
      <c r="U8" s="23">
        <v>1</v>
      </c>
      <c r="V8" s="23">
        <v>1</v>
      </c>
      <c r="W8" s="23">
        <v>1</v>
      </c>
      <c r="X8" s="23">
        <v>1</v>
      </c>
      <c r="Y8" s="546" t="s">
        <v>720</v>
      </c>
      <c r="Z8" s="547"/>
      <c r="AA8" s="548"/>
      <c r="AB8" s="23">
        <v>1</v>
      </c>
      <c r="AC8" s="23">
        <v>1</v>
      </c>
      <c r="AD8" s="546" t="s">
        <v>721</v>
      </c>
      <c r="AE8" s="547"/>
      <c r="AF8" s="548"/>
    </row>
    <row r="9" spans="1:32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  <c r="AD9" s="23">
        <v>1</v>
      </c>
      <c r="AE9" s="23">
        <v>1</v>
      </c>
      <c r="AF9" s="23">
        <v>1</v>
      </c>
    </row>
    <row r="10" spans="1:32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1</v>
      </c>
      <c r="O10" s="23">
        <v>1</v>
      </c>
      <c r="P10" s="23">
        <v>1</v>
      </c>
      <c r="Q10" s="23">
        <v>1</v>
      </c>
      <c r="R10" s="23">
        <v>1</v>
      </c>
      <c r="S10" s="23">
        <v>1</v>
      </c>
      <c r="T10" s="23">
        <v>1</v>
      </c>
      <c r="U10" s="23">
        <v>1</v>
      </c>
      <c r="V10" s="23">
        <v>1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B10" s="23">
        <v>1</v>
      </c>
      <c r="AC10" s="23">
        <v>1</v>
      </c>
      <c r="AD10" s="23">
        <v>1</v>
      </c>
      <c r="AE10" s="23">
        <v>1</v>
      </c>
      <c r="AF10" s="23">
        <v>1</v>
      </c>
    </row>
    <row r="11" spans="1:32" ht="85.5" customHeight="1">
      <c r="A11" s="34">
        <v>9</v>
      </c>
      <c r="B11" s="35" t="s">
        <v>29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3">
        <v>1</v>
      </c>
      <c r="J11" s="23">
        <v>1</v>
      </c>
      <c r="K11" s="23">
        <v>1</v>
      </c>
      <c r="L11" s="23">
        <v>1</v>
      </c>
      <c r="M11" s="23">
        <v>1</v>
      </c>
      <c r="N11" s="23">
        <v>1</v>
      </c>
      <c r="O11" s="213" t="s">
        <v>722</v>
      </c>
      <c r="P11" s="618"/>
      <c r="Q11" s="618"/>
      <c r="R11" s="618"/>
      <c r="S11" s="619"/>
      <c r="T11" s="23">
        <v>1</v>
      </c>
      <c r="U11" s="23">
        <v>1</v>
      </c>
      <c r="V11" s="23">
        <v>1</v>
      </c>
      <c r="W11" s="23">
        <v>1</v>
      </c>
      <c r="X11" s="23">
        <v>1</v>
      </c>
      <c r="Y11" s="213" t="s">
        <v>723</v>
      </c>
      <c r="Z11" s="214"/>
      <c r="AA11" s="227"/>
      <c r="AB11" s="23">
        <v>1</v>
      </c>
      <c r="AC11" s="23">
        <v>1</v>
      </c>
      <c r="AD11" s="23">
        <v>1</v>
      </c>
      <c r="AE11" s="23">
        <v>1</v>
      </c>
      <c r="AF11" s="23">
        <v>1</v>
      </c>
    </row>
    <row r="12" spans="1:32" ht="85.5" customHeight="1">
      <c r="A12" s="34">
        <v>10</v>
      </c>
      <c r="B12" s="33" t="s">
        <v>37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</row>
    <row r="13" spans="1:32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  <c r="AE13" s="23">
        <v>1</v>
      </c>
      <c r="AF13" s="23">
        <v>1</v>
      </c>
    </row>
    <row r="14" spans="1:32" ht="85.5" customHeight="1">
      <c r="A14" s="34">
        <v>12</v>
      </c>
      <c r="B14" s="33" t="s">
        <v>9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  <c r="K14" s="23">
        <v>1</v>
      </c>
      <c r="L14" s="23">
        <v>1</v>
      </c>
      <c r="M14" s="23">
        <v>1</v>
      </c>
      <c r="N14" s="23">
        <v>1</v>
      </c>
      <c r="O14" s="23">
        <v>1</v>
      </c>
      <c r="P14" s="23">
        <v>1</v>
      </c>
      <c r="Q14" s="23">
        <v>1</v>
      </c>
      <c r="R14" s="23">
        <v>1</v>
      </c>
      <c r="S14" s="23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</row>
    <row r="15" spans="1:32" ht="85.5" customHeight="1">
      <c r="A15" s="34" t="s">
        <v>111</v>
      </c>
      <c r="B15" s="33" t="s">
        <v>112</v>
      </c>
      <c r="C15" s="23">
        <v>1</v>
      </c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3">
        <v>1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B15" s="23">
        <v>1</v>
      </c>
      <c r="AC15" s="23">
        <v>1</v>
      </c>
      <c r="AD15" s="23">
        <v>1</v>
      </c>
      <c r="AE15" s="23">
        <v>1</v>
      </c>
      <c r="AF15" s="23">
        <v>1</v>
      </c>
    </row>
    <row r="16" spans="1:32" ht="84.95" customHeight="1">
      <c r="A16" s="36"/>
      <c r="B16" s="37"/>
      <c r="C16" s="38">
        <f>(30*13-SUM(C17:AF20))/(30*13)</f>
        <v>0.11538461538461539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85.5" customHeight="1">
      <c r="A17" s="2"/>
      <c r="B17" s="3" t="s">
        <v>121</v>
      </c>
      <c r="C17" s="2">
        <f t="shared" ref="C17:AF17" si="0">C28+C34</f>
        <v>2</v>
      </c>
      <c r="D17" s="2">
        <f t="shared" si="0"/>
        <v>2</v>
      </c>
      <c r="E17" s="4">
        <f t="shared" si="0"/>
        <v>2</v>
      </c>
      <c r="F17" s="4">
        <f t="shared" si="0"/>
        <v>2</v>
      </c>
      <c r="G17" s="4">
        <f t="shared" si="0"/>
        <v>2</v>
      </c>
      <c r="H17" s="4">
        <f t="shared" si="0"/>
        <v>2</v>
      </c>
      <c r="I17" s="4">
        <f t="shared" si="0"/>
        <v>1</v>
      </c>
      <c r="J17" s="4">
        <f t="shared" si="0"/>
        <v>1</v>
      </c>
      <c r="K17" s="4">
        <f t="shared" si="0"/>
        <v>1</v>
      </c>
      <c r="L17" s="4">
        <f t="shared" si="0"/>
        <v>1</v>
      </c>
      <c r="M17" s="4">
        <f t="shared" si="0"/>
        <v>2</v>
      </c>
      <c r="N17" s="4">
        <f t="shared" si="0"/>
        <v>2</v>
      </c>
      <c r="O17" s="4">
        <f t="shared" si="0"/>
        <v>1</v>
      </c>
      <c r="P17" s="4">
        <f t="shared" si="0"/>
        <v>1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1</v>
      </c>
      <c r="U17" s="4">
        <f t="shared" si="0"/>
        <v>1</v>
      </c>
      <c r="V17" s="4">
        <f t="shared" si="0"/>
        <v>2</v>
      </c>
      <c r="W17" s="4">
        <f t="shared" si="0"/>
        <v>2</v>
      </c>
      <c r="X17" s="4">
        <f t="shared" si="0"/>
        <v>2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2</v>
      </c>
      <c r="AC17" s="4">
        <f t="shared" si="0"/>
        <v>2</v>
      </c>
      <c r="AD17" s="4">
        <f t="shared" si="0"/>
        <v>2</v>
      </c>
      <c r="AE17" s="4">
        <f t="shared" si="0"/>
        <v>2</v>
      </c>
      <c r="AF17" s="4">
        <f t="shared" si="0"/>
        <v>2</v>
      </c>
    </row>
    <row r="18" spans="1:32" ht="85.5" customHeight="1">
      <c r="A18" s="2"/>
      <c r="B18" s="3" t="s">
        <v>122</v>
      </c>
      <c r="C18" s="2">
        <f t="shared" ref="C18:AF18" si="1">C26+C27+C31+C32+C33+C37</f>
        <v>6</v>
      </c>
      <c r="D18" s="2">
        <f t="shared" si="1"/>
        <v>5</v>
      </c>
      <c r="E18" s="4">
        <f t="shared" si="1"/>
        <v>5</v>
      </c>
      <c r="F18" s="4">
        <f t="shared" si="1"/>
        <v>5</v>
      </c>
      <c r="G18" s="4">
        <f t="shared" si="1"/>
        <v>5</v>
      </c>
      <c r="H18" s="4">
        <f t="shared" si="1"/>
        <v>5</v>
      </c>
      <c r="I18" s="4">
        <f t="shared" si="1"/>
        <v>5</v>
      </c>
      <c r="J18" s="4">
        <f t="shared" si="1"/>
        <v>6</v>
      </c>
      <c r="K18" s="4">
        <f t="shared" si="1"/>
        <v>6</v>
      </c>
      <c r="L18" s="4">
        <f t="shared" si="1"/>
        <v>6</v>
      </c>
      <c r="M18" s="4">
        <f t="shared" si="1"/>
        <v>6</v>
      </c>
      <c r="N18" s="4">
        <f t="shared" si="1"/>
        <v>6</v>
      </c>
      <c r="O18" s="4">
        <f t="shared" si="1"/>
        <v>5</v>
      </c>
      <c r="P18" s="4">
        <f t="shared" si="1"/>
        <v>5</v>
      </c>
      <c r="Q18" s="4">
        <f t="shared" si="1"/>
        <v>5</v>
      </c>
      <c r="R18" s="4">
        <f t="shared" si="1"/>
        <v>5</v>
      </c>
      <c r="S18" s="4">
        <f t="shared" si="1"/>
        <v>6</v>
      </c>
      <c r="T18" s="4">
        <f t="shared" si="1"/>
        <v>6</v>
      </c>
      <c r="U18" s="4">
        <f t="shared" si="1"/>
        <v>5</v>
      </c>
      <c r="V18" s="4">
        <f t="shared" si="1"/>
        <v>5</v>
      </c>
      <c r="W18" s="4">
        <f t="shared" si="1"/>
        <v>5</v>
      </c>
      <c r="X18" s="4">
        <f t="shared" si="1"/>
        <v>6</v>
      </c>
      <c r="Y18" s="4">
        <f t="shared" si="1"/>
        <v>3</v>
      </c>
      <c r="Z18" s="4">
        <f t="shared" si="1"/>
        <v>3</v>
      </c>
      <c r="AA18" s="4">
        <f t="shared" si="1"/>
        <v>3</v>
      </c>
      <c r="AB18" s="4">
        <f t="shared" si="1"/>
        <v>6</v>
      </c>
      <c r="AC18" s="4">
        <f t="shared" si="1"/>
        <v>6</v>
      </c>
      <c r="AD18" s="4">
        <f t="shared" si="1"/>
        <v>5</v>
      </c>
      <c r="AE18" s="4">
        <f t="shared" si="1"/>
        <v>5</v>
      </c>
      <c r="AF18" s="4">
        <f t="shared" si="1"/>
        <v>5</v>
      </c>
    </row>
    <row r="19" spans="1:32" ht="85.5" customHeight="1">
      <c r="A19" s="2"/>
      <c r="B19" s="3" t="s">
        <v>123</v>
      </c>
      <c r="C19" s="2">
        <f t="shared" ref="C19:AF19" si="2">C29+C30+C35+C36</f>
        <v>4</v>
      </c>
      <c r="D19" s="2">
        <f t="shared" si="2"/>
        <v>4</v>
      </c>
      <c r="E19" s="4">
        <f t="shared" si="2"/>
        <v>4</v>
      </c>
      <c r="F19" s="4">
        <f t="shared" si="2"/>
        <v>4</v>
      </c>
      <c r="G19" s="4">
        <f t="shared" si="2"/>
        <v>4</v>
      </c>
      <c r="H19" s="4">
        <f t="shared" si="2"/>
        <v>4</v>
      </c>
      <c r="I19" s="4">
        <f t="shared" si="2"/>
        <v>4</v>
      </c>
      <c r="J19" s="4">
        <f t="shared" si="2"/>
        <v>4</v>
      </c>
      <c r="K19" s="4">
        <f t="shared" si="2"/>
        <v>4</v>
      </c>
      <c r="L19" s="4">
        <f t="shared" si="2"/>
        <v>4</v>
      </c>
      <c r="M19" s="4">
        <f t="shared" si="2"/>
        <v>4</v>
      </c>
      <c r="N19" s="4">
        <f t="shared" si="2"/>
        <v>4</v>
      </c>
      <c r="O19" s="4">
        <f t="shared" si="2"/>
        <v>4</v>
      </c>
      <c r="P19" s="4">
        <f t="shared" si="2"/>
        <v>4</v>
      </c>
      <c r="Q19" s="4">
        <f t="shared" si="2"/>
        <v>4</v>
      </c>
      <c r="R19" s="4">
        <f t="shared" si="2"/>
        <v>4</v>
      </c>
      <c r="S19" s="4">
        <f t="shared" si="2"/>
        <v>4</v>
      </c>
      <c r="T19" s="4">
        <f t="shared" si="2"/>
        <v>4</v>
      </c>
      <c r="U19" s="4">
        <f t="shared" si="2"/>
        <v>4</v>
      </c>
      <c r="V19" s="4">
        <f t="shared" si="2"/>
        <v>4</v>
      </c>
      <c r="W19" s="4">
        <f t="shared" si="2"/>
        <v>4</v>
      </c>
      <c r="X19" s="4">
        <f t="shared" si="2"/>
        <v>4</v>
      </c>
      <c r="Y19" s="4">
        <f t="shared" si="2"/>
        <v>4</v>
      </c>
      <c r="Z19" s="4">
        <f t="shared" si="2"/>
        <v>4</v>
      </c>
      <c r="AA19" s="4">
        <f t="shared" si="2"/>
        <v>4</v>
      </c>
      <c r="AB19" s="4">
        <f t="shared" si="2"/>
        <v>4</v>
      </c>
      <c r="AC19" s="4">
        <f t="shared" si="2"/>
        <v>4</v>
      </c>
      <c r="AD19" s="4">
        <f t="shared" si="2"/>
        <v>4</v>
      </c>
      <c r="AE19" s="4">
        <f t="shared" si="2"/>
        <v>4</v>
      </c>
      <c r="AF19" s="4">
        <f t="shared" si="2"/>
        <v>4</v>
      </c>
    </row>
    <row r="20" spans="1:32" ht="85.5" customHeight="1">
      <c r="A20" s="2"/>
      <c r="B20" s="3" t="s">
        <v>124</v>
      </c>
      <c r="C20" s="2">
        <f t="shared" ref="C20:AF20" si="3">C38</f>
        <v>1</v>
      </c>
      <c r="D20" s="2">
        <f t="shared" si="3"/>
        <v>1</v>
      </c>
      <c r="E20" s="4">
        <f t="shared" si="3"/>
        <v>1</v>
      </c>
      <c r="F20" s="4">
        <f t="shared" si="3"/>
        <v>1</v>
      </c>
      <c r="G20" s="4">
        <f t="shared" si="3"/>
        <v>1</v>
      </c>
      <c r="H20" s="4">
        <f t="shared" si="3"/>
        <v>1</v>
      </c>
      <c r="I20" s="4">
        <f t="shared" si="3"/>
        <v>1</v>
      </c>
      <c r="J20" s="4">
        <f t="shared" si="3"/>
        <v>1</v>
      </c>
      <c r="K20" s="4">
        <f t="shared" si="3"/>
        <v>1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1</v>
      </c>
      <c r="P20" s="4">
        <f t="shared" si="3"/>
        <v>1</v>
      </c>
      <c r="Q20" s="4">
        <f t="shared" si="3"/>
        <v>1</v>
      </c>
      <c r="R20" s="4">
        <f t="shared" si="3"/>
        <v>1</v>
      </c>
      <c r="S20" s="4">
        <f t="shared" si="3"/>
        <v>1</v>
      </c>
      <c r="T20" s="4">
        <f t="shared" si="3"/>
        <v>1</v>
      </c>
      <c r="U20" s="4">
        <f t="shared" si="3"/>
        <v>1</v>
      </c>
      <c r="V20" s="4">
        <f t="shared" si="3"/>
        <v>1</v>
      </c>
      <c r="W20" s="4">
        <f t="shared" si="3"/>
        <v>1</v>
      </c>
      <c r="X20" s="4">
        <f t="shared" si="3"/>
        <v>1</v>
      </c>
      <c r="Y20" s="4">
        <f t="shared" si="3"/>
        <v>1</v>
      </c>
      <c r="Z20" s="4">
        <f t="shared" si="3"/>
        <v>1</v>
      </c>
      <c r="AA20" s="4">
        <f t="shared" si="3"/>
        <v>1</v>
      </c>
      <c r="AB20" s="4">
        <f t="shared" si="3"/>
        <v>1</v>
      </c>
      <c r="AC20" s="4">
        <f t="shared" si="3"/>
        <v>1</v>
      </c>
      <c r="AD20" s="4">
        <f t="shared" si="3"/>
        <v>1</v>
      </c>
      <c r="AE20" s="4">
        <f t="shared" si="3"/>
        <v>1</v>
      </c>
      <c r="AF20" s="4">
        <f t="shared" si="3"/>
        <v>1</v>
      </c>
    </row>
    <row r="21" spans="1:32" ht="85.5" customHeight="1">
      <c r="C21" s="41">
        <f t="shared" ref="C21:AF21" si="4">SUM(C17:C20)</f>
        <v>13</v>
      </c>
      <c r="D21" s="41">
        <f t="shared" si="4"/>
        <v>12</v>
      </c>
      <c r="E21" s="41">
        <f t="shared" si="4"/>
        <v>12</v>
      </c>
      <c r="F21" s="41">
        <f t="shared" si="4"/>
        <v>12</v>
      </c>
      <c r="G21" s="41">
        <f t="shared" si="4"/>
        <v>12</v>
      </c>
      <c r="H21" s="41">
        <f t="shared" si="4"/>
        <v>12</v>
      </c>
      <c r="I21" s="41">
        <f t="shared" si="4"/>
        <v>11</v>
      </c>
      <c r="J21" s="41">
        <f t="shared" si="4"/>
        <v>12</v>
      </c>
      <c r="K21" s="41">
        <f t="shared" si="4"/>
        <v>12</v>
      </c>
      <c r="L21" s="41">
        <f t="shared" si="4"/>
        <v>12</v>
      </c>
      <c r="M21" s="41">
        <f t="shared" si="4"/>
        <v>13</v>
      </c>
      <c r="N21" s="41">
        <f t="shared" si="4"/>
        <v>13</v>
      </c>
      <c r="O21" s="41">
        <f t="shared" si="4"/>
        <v>11</v>
      </c>
      <c r="P21" s="41">
        <f t="shared" si="4"/>
        <v>11</v>
      </c>
      <c r="Q21" s="41">
        <f t="shared" si="4"/>
        <v>10</v>
      </c>
      <c r="R21" s="41">
        <f t="shared" si="4"/>
        <v>10</v>
      </c>
      <c r="S21" s="41">
        <f t="shared" si="4"/>
        <v>11</v>
      </c>
      <c r="T21" s="41">
        <f t="shared" si="4"/>
        <v>12</v>
      </c>
      <c r="U21" s="41">
        <f t="shared" si="4"/>
        <v>11</v>
      </c>
      <c r="V21" s="41">
        <f t="shared" si="4"/>
        <v>12</v>
      </c>
      <c r="W21" s="41">
        <f t="shared" si="4"/>
        <v>12</v>
      </c>
      <c r="X21" s="41">
        <f t="shared" si="4"/>
        <v>13</v>
      </c>
      <c r="Y21" s="41">
        <f t="shared" si="4"/>
        <v>8</v>
      </c>
      <c r="Z21" s="41">
        <f t="shared" si="4"/>
        <v>8</v>
      </c>
      <c r="AA21" s="41">
        <f t="shared" si="4"/>
        <v>8</v>
      </c>
      <c r="AB21" s="41">
        <f t="shared" si="4"/>
        <v>13</v>
      </c>
      <c r="AC21" s="41">
        <f t="shared" si="4"/>
        <v>13</v>
      </c>
      <c r="AD21" s="41">
        <f t="shared" si="4"/>
        <v>12</v>
      </c>
      <c r="AE21" s="41">
        <f t="shared" si="4"/>
        <v>12</v>
      </c>
      <c r="AF21" s="41">
        <f t="shared" si="4"/>
        <v>12</v>
      </c>
    </row>
    <row r="22" spans="1:32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71.099999999999994" customHeight="1"/>
    <row r="24" spans="1:32" ht="61.35" customHeight="1"/>
    <row r="26" spans="1:32" ht="42" customHeight="1">
      <c r="B26" s="42">
        <v>1</v>
      </c>
      <c r="C26" s="40">
        <f t="shared" ref="C26:AF34" si="5">IF(C3=1,1,0)</f>
        <v>1</v>
      </c>
      <c r="D26" s="40">
        <f t="shared" si="5"/>
        <v>1</v>
      </c>
      <c r="E26" s="40">
        <f t="shared" si="5"/>
        <v>1</v>
      </c>
      <c r="F26" s="40">
        <f t="shared" si="5"/>
        <v>1</v>
      </c>
      <c r="G26" s="40">
        <f t="shared" si="5"/>
        <v>1</v>
      </c>
      <c r="H26" s="40">
        <f t="shared" si="5"/>
        <v>1</v>
      </c>
      <c r="I26" s="40">
        <f t="shared" si="5"/>
        <v>1</v>
      </c>
      <c r="J26" s="40">
        <f t="shared" si="5"/>
        <v>1</v>
      </c>
      <c r="K26" s="40">
        <f t="shared" si="5"/>
        <v>1</v>
      </c>
      <c r="L26" s="40">
        <f t="shared" si="5"/>
        <v>1</v>
      </c>
      <c r="M26" s="40">
        <f t="shared" si="5"/>
        <v>1</v>
      </c>
      <c r="N26" s="40">
        <f t="shared" si="5"/>
        <v>1</v>
      </c>
      <c r="O26" s="40">
        <f t="shared" si="5"/>
        <v>0</v>
      </c>
      <c r="P26" s="40">
        <f t="shared" si="5"/>
        <v>0</v>
      </c>
      <c r="Q26" s="40">
        <f t="shared" si="5"/>
        <v>0</v>
      </c>
      <c r="R26" s="40">
        <f t="shared" si="5"/>
        <v>0</v>
      </c>
      <c r="S26" s="40">
        <f t="shared" si="5"/>
        <v>1</v>
      </c>
      <c r="T26" s="40">
        <f t="shared" si="5"/>
        <v>1</v>
      </c>
      <c r="U26" s="40">
        <f t="shared" si="5"/>
        <v>1</v>
      </c>
      <c r="V26" s="40">
        <f t="shared" si="5"/>
        <v>1</v>
      </c>
      <c r="W26" s="40">
        <f t="shared" si="5"/>
        <v>1</v>
      </c>
      <c r="X26" s="40">
        <f t="shared" si="5"/>
        <v>1</v>
      </c>
      <c r="Y26" s="40">
        <f t="shared" si="5"/>
        <v>0</v>
      </c>
      <c r="Z26" s="40">
        <f t="shared" si="5"/>
        <v>0</v>
      </c>
      <c r="AA26" s="40">
        <f t="shared" si="5"/>
        <v>0</v>
      </c>
      <c r="AB26" s="40">
        <f t="shared" si="5"/>
        <v>1</v>
      </c>
      <c r="AC26" s="40">
        <f t="shared" si="5"/>
        <v>1</v>
      </c>
      <c r="AD26" s="40">
        <f t="shared" si="5"/>
        <v>1</v>
      </c>
      <c r="AE26" s="40">
        <f t="shared" si="5"/>
        <v>1</v>
      </c>
      <c r="AF26" s="40">
        <f t="shared" si="5"/>
        <v>1</v>
      </c>
    </row>
    <row r="27" spans="1:32" ht="42" customHeight="1">
      <c r="B27" s="42">
        <v>2</v>
      </c>
      <c r="C27" s="40">
        <f t="shared" si="5"/>
        <v>1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si="5"/>
        <v>0</v>
      </c>
      <c r="I27" s="40">
        <f t="shared" si="5"/>
        <v>0</v>
      </c>
      <c r="J27" s="40">
        <f t="shared" si="5"/>
        <v>1</v>
      </c>
      <c r="K27" s="40">
        <f t="shared" si="5"/>
        <v>1</v>
      </c>
      <c r="L27" s="40">
        <f t="shared" si="5"/>
        <v>1</v>
      </c>
      <c r="M27" s="40">
        <f t="shared" si="5"/>
        <v>1</v>
      </c>
      <c r="N27" s="40">
        <f t="shared" si="5"/>
        <v>1</v>
      </c>
      <c r="O27" s="40">
        <f t="shared" si="5"/>
        <v>1</v>
      </c>
      <c r="P27" s="40">
        <f t="shared" si="5"/>
        <v>1</v>
      </c>
      <c r="Q27" s="40">
        <f t="shared" si="5"/>
        <v>1</v>
      </c>
      <c r="R27" s="40">
        <f t="shared" si="5"/>
        <v>1</v>
      </c>
      <c r="S27" s="40">
        <f t="shared" si="5"/>
        <v>1</v>
      </c>
      <c r="T27" s="40">
        <f t="shared" si="5"/>
        <v>1</v>
      </c>
      <c r="U27" s="40">
        <f t="shared" si="5"/>
        <v>0</v>
      </c>
      <c r="V27" s="40">
        <f t="shared" si="5"/>
        <v>0</v>
      </c>
      <c r="W27" s="40">
        <f t="shared" si="5"/>
        <v>0</v>
      </c>
      <c r="X27" s="40">
        <f t="shared" si="5"/>
        <v>1</v>
      </c>
      <c r="Y27" s="40">
        <f t="shared" si="5"/>
        <v>0</v>
      </c>
      <c r="Z27" s="40">
        <f t="shared" si="5"/>
        <v>0</v>
      </c>
      <c r="AA27" s="40">
        <f t="shared" si="5"/>
        <v>0</v>
      </c>
      <c r="AB27" s="40">
        <f t="shared" si="5"/>
        <v>1</v>
      </c>
      <c r="AC27" s="40">
        <f t="shared" si="5"/>
        <v>1</v>
      </c>
      <c r="AD27" s="40">
        <f t="shared" si="5"/>
        <v>1</v>
      </c>
      <c r="AE27" s="40">
        <f t="shared" si="5"/>
        <v>1</v>
      </c>
      <c r="AF27" s="40">
        <f t="shared" si="5"/>
        <v>1</v>
      </c>
    </row>
    <row r="28" spans="1:32" ht="42" customHeight="1">
      <c r="B28" s="43">
        <v>3</v>
      </c>
      <c r="C28" s="40">
        <f t="shared" si="5"/>
        <v>1</v>
      </c>
      <c r="D28" s="40">
        <f t="shared" si="5"/>
        <v>1</v>
      </c>
      <c r="E28" s="40">
        <f t="shared" si="5"/>
        <v>1</v>
      </c>
      <c r="F28" s="40">
        <f t="shared" si="5"/>
        <v>1</v>
      </c>
      <c r="G28" s="40">
        <f t="shared" si="5"/>
        <v>1</v>
      </c>
      <c r="H28" s="40">
        <f t="shared" si="5"/>
        <v>1</v>
      </c>
      <c r="I28" s="40">
        <f t="shared" si="5"/>
        <v>0</v>
      </c>
      <c r="J28" s="40">
        <f t="shared" si="5"/>
        <v>0</v>
      </c>
      <c r="K28" s="40">
        <f t="shared" si="5"/>
        <v>0</v>
      </c>
      <c r="L28" s="40">
        <f t="shared" si="5"/>
        <v>0</v>
      </c>
      <c r="M28" s="40">
        <f t="shared" si="5"/>
        <v>1</v>
      </c>
      <c r="N28" s="40">
        <f t="shared" si="5"/>
        <v>1</v>
      </c>
      <c r="O28" s="40">
        <f t="shared" si="5"/>
        <v>1</v>
      </c>
      <c r="P28" s="40">
        <f t="shared" si="5"/>
        <v>1</v>
      </c>
      <c r="Q28" s="40">
        <f t="shared" si="5"/>
        <v>0</v>
      </c>
      <c r="R28" s="40">
        <f t="shared" si="5"/>
        <v>0</v>
      </c>
      <c r="S28" s="40">
        <f t="shared" si="5"/>
        <v>0</v>
      </c>
      <c r="T28" s="40">
        <f t="shared" si="5"/>
        <v>0</v>
      </c>
      <c r="U28" s="40">
        <f t="shared" si="5"/>
        <v>0</v>
      </c>
      <c r="V28" s="40">
        <f t="shared" si="5"/>
        <v>1</v>
      </c>
      <c r="W28" s="40">
        <f t="shared" si="5"/>
        <v>1</v>
      </c>
      <c r="X28" s="40">
        <f t="shared" si="5"/>
        <v>1</v>
      </c>
      <c r="Y28" s="40">
        <f t="shared" si="5"/>
        <v>0</v>
      </c>
      <c r="Z28" s="40">
        <f t="shared" si="5"/>
        <v>0</v>
      </c>
      <c r="AA28" s="40">
        <f t="shared" si="5"/>
        <v>0</v>
      </c>
      <c r="AB28" s="40">
        <f t="shared" si="5"/>
        <v>1</v>
      </c>
      <c r="AC28" s="40">
        <f t="shared" si="5"/>
        <v>1</v>
      </c>
      <c r="AD28" s="40">
        <f t="shared" si="5"/>
        <v>1</v>
      </c>
      <c r="AE28" s="40">
        <f t="shared" si="5"/>
        <v>1</v>
      </c>
      <c r="AF28" s="40">
        <f t="shared" si="5"/>
        <v>1</v>
      </c>
    </row>
    <row r="29" spans="1:32" ht="42" customHeight="1">
      <c r="B29" s="44">
        <v>4</v>
      </c>
      <c r="C29" s="40">
        <f t="shared" si="5"/>
        <v>1</v>
      </c>
      <c r="D29" s="40">
        <f t="shared" si="5"/>
        <v>1</v>
      </c>
      <c r="E29" s="40">
        <f t="shared" si="5"/>
        <v>1</v>
      </c>
      <c r="F29" s="40">
        <f t="shared" si="5"/>
        <v>1</v>
      </c>
      <c r="G29" s="40">
        <f t="shared" si="5"/>
        <v>1</v>
      </c>
      <c r="H29" s="40">
        <f t="shared" si="5"/>
        <v>1</v>
      </c>
      <c r="I29" s="40">
        <f t="shared" si="5"/>
        <v>1</v>
      </c>
      <c r="J29" s="40">
        <f t="shared" si="5"/>
        <v>1</v>
      </c>
      <c r="K29" s="40">
        <f t="shared" si="5"/>
        <v>1</v>
      </c>
      <c r="L29" s="40">
        <f t="shared" si="5"/>
        <v>1</v>
      </c>
      <c r="M29" s="40">
        <f t="shared" si="5"/>
        <v>1</v>
      </c>
      <c r="N29" s="40">
        <f t="shared" si="5"/>
        <v>1</v>
      </c>
      <c r="O29" s="40">
        <f t="shared" si="5"/>
        <v>1</v>
      </c>
      <c r="P29" s="40">
        <f t="shared" si="5"/>
        <v>1</v>
      </c>
      <c r="Q29" s="40">
        <f t="shared" si="5"/>
        <v>1</v>
      </c>
      <c r="R29" s="40">
        <f t="shared" si="5"/>
        <v>1</v>
      </c>
      <c r="S29" s="40">
        <f t="shared" si="5"/>
        <v>1</v>
      </c>
      <c r="T29" s="40">
        <f t="shared" si="5"/>
        <v>1</v>
      </c>
      <c r="U29" s="40">
        <f t="shared" si="5"/>
        <v>1</v>
      </c>
      <c r="V29" s="40">
        <f t="shared" si="5"/>
        <v>1</v>
      </c>
      <c r="W29" s="40">
        <f t="shared" si="5"/>
        <v>1</v>
      </c>
      <c r="X29" s="40">
        <f t="shared" si="5"/>
        <v>1</v>
      </c>
      <c r="Y29" s="40">
        <f t="shared" si="5"/>
        <v>1</v>
      </c>
      <c r="Z29" s="40">
        <f t="shared" si="5"/>
        <v>1</v>
      </c>
      <c r="AA29" s="40">
        <f t="shared" si="5"/>
        <v>1</v>
      </c>
      <c r="AB29" s="40">
        <f t="shared" si="5"/>
        <v>1</v>
      </c>
      <c r="AC29" s="40">
        <f t="shared" si="5"/>
        <v>1</v>
      </c>
      <c r="AD29" s="40">
        <f t="shared" si="5"/>
        <v>1</v>
      </c>
      <c r="AE29" s="40">
        <f t="shared" si="5"/>
        <v>1</v>
      </c>
      <c r="AF29" s="40">
        <f t="shared" si="5"/>
        <v>1</v>
      </c>
    </row>
    <row r="30" spans="1:32" ht="42" customHeight="1">
      <c r="B30" s="44">
        <v>5</v>
      </c>
      <c r="C30" s="40">
        <f t="shared" si="5"/>
        <v>1</v>
      </c>
      <c r="D30" s="40">
        <f t="shared" si="5"/>
        <v>1</v>
      </c>
      <c r="E30" s="40">
        <f t="shared" si="5"/>
        <v>1</v>
      </c>
      <c r="F30" s="40">
        <f t="shared" si="5"/>
        <v>1</v>
      </c>
      <c r="G30" s="40">
        <f t="shared" si="5"/>
        <v>1</v>
      </c>
      <c r="H30" s="40">
        <f t="shared" si="5"/>
        <v>1</v>
      </c>
      <c r="I30" s="40">
        <f t="shared" si="5"/>
        <v>1</v>
      </c>
      <c r="J30" s="40">
        <f t="shared" si="5"/>
        <v>1</v>
      </c>
      <c r="K30" s="40">
        <f t="shared" si="5"/>
        <v>1</v>
      </c>
      <c r="L30" s="40">
        <f t="shared" si="5"/>
        <v>1</v>
      </c>
      <c r="M30" s="40">
        <f t="shared" si="5"/>
        <v>1</v>
      </c>
      <c r="N30" s="40">
        <f t="shared" si="5"/>
        <v>1</v>
      </c>
      <c r="O30" s="40">
        <f t="shared" si="5"/>
        <v>1</v>
      </c>
      <c r="P30" s="40">
        <f t="shared" si="5"/>
        <v>1</v>
      </c>
      <c r="Q30" s="40">
        <f t="shared" si="5"/>
        <v>1</v>
      </c>
      <c r="R30" s="40">
        <f t="shared" si="5"/>
        <v>1</v>
      </c>
      <c r="S30" s="40">
        <f t="shared" si="5"/>
        <v>1</v>
      </c>
      <c r="T30" s="40">
        <f t="shared" si="5"/>
        <v>1</v>
      </c>
      <c r="U30" s="40">
        <f t="shared" si="5"/>
        <v>1</v>
      </c>
      <c r="V30" s="40">
        <f t="shared" si="5"/>
        <v>1</v>
      </c>
      <c r="W30" s="40">
        <f t="shared" si="5"/>
        <v>1</v>
      </c>
      <c r="X30" s="40">
        <f t="shared" si="5"/>
        <v>1</v>
      </c>
      <c r="Y30" s="40">
        <f t="shared" si="5"/>
        <v>1</v>
      </c>
      <c r="Z30" s="40">
        <f t="shared" si="5"/>
        <v>1</v>
      </c>
      <c r="AA30" s="40">
        <f t="shared" si="5"/>
        <v>1</v>
      </c>
      <c r="AB30" s="40">
        <f t="shared" si="5"/>
        <v>1</v>
      </c>
      <c r="AC30" s="40">
        <f t="shared" si="5"/>
        <v>1</v>
      </c>
      <c r="AD30" s="40">
        <f t="shared" si="5"/>
        <v>1</v>
      </c>
      <c r="AE30" s="40">
        <f t="shared" si="5"/>
        <v>1</v>
      </c>
      <c r="AF30" s="40">
        <f t="shared" si="5"/>
        <v>1</v>
      </c>
    </row>
    <row r="31" spans="1:32" ht="42" customHeight="1">
      <c r="B31" s="42">
        <v>6</v>
      </c>
      <c r="C31" s="40">
        <f t="shared" si="5"/>
        <v>1</v>
      </c>
      <c r="D31" s="40">
        <f t="shared" si="5"/>
        <v>1</v>
      </c>
      <c r="E31" s="40">
        <f t="shared" si="5"/>
        <v>1</v>
      </c>
      <c r="F31" s="40">
        <f t="shared" si="5"/>
        <v>1</v>
      </c>
      <c r="G31" s="40">
        <f t="shared" si="5"/>
        <v>1</v>
      </c>
      <c r="H31" s="40">
        <f t="shared" si="5"/>
        <v>1</v>
      </c>
      <c r="I31" s="40">
        <f t="shared" si="5"/>
        <v>1</v>
      </c>
      <c r="J31" s="40">
        <f t="shared" si="5"/>
        <v>1</v>
      </c>
      <c r="K31" s="40">
        <f t="shared" si="5"/>
        <v>1</v>
      </c>
      <c r="L31" s="40">
        <f t="shared" si="5"/>
        <v>1</v>
      </c>
      <c r="M31" s="40">
        <f t="shared" si="5"/>
        <v>1</v>
      </c>
      <c r="N31" s="40">
        <f t="shared" si="5"/>
        <v>1</v>
      </c>
      <c r="O31" s="40">
        <f t="shared" si="5"/>
        <v>1</v>
      </c>
      <c r="P31" s="40">
        <f t="shared" si="5"/>
        <v>1</v>
      </c>
      <c r="Q31" s="40">
        <f t="shared" si="5"/>
        <v>1</v>
      </c>
      <c r="R31" s="40">
        <f t="shared" si="5"/>
        <v>1</v>
      </c>
      <c r="S31" s="40">
        <f t="shared" si="5"/>
        <v>1</v>
      </c>
      <c r="T31" s="40">
        <f t="shared" si="5"/>
        <v>1</v>
      </c>
      <c r="U31" s="40">
        <f t="shared" si="5"/>
        <v>1</v>
      </c>
      <c r="V31" s="40">
        <f t="shared" si="5"/>
        <v>1</v>
      </c>
      <c r="W31" s="40">
        <f t="shared" si="5"/>
        <v>1</v>
      </c>
      <c r="X31" s="40">
        <f t="shared" si="5"/>
        <v>1</v>
      </c>
      <c r="Y31" s="40">
        <f t="shared" si="5"/>
        <v>0</v>
      </c>
      <c r="Z31" s="40">
        <f t="shared" si="5"/>
        <v>0</v>
      </c>
      <c r="AA31" s="40">
        <f t="shared" si="5"/>
        <v>0</v>
      </c>
      <c r="AB31" s="40">
        <f t="shared" si="5"/>
        <v>1</v>
      </c>
      <c r="AC31" s="40">
        <f t="shared" si="5"/>
        <v>1</v>
      </c>
      <c r="AD31" s="40">
        <f t="shared" si="5"/>
        <v>0</v>
      </c>
      <c r="AE31" s="40">
        <f t="shared" si="5"/>
        <v>0</v>
      </c>
      <c r="AF31" s="40">
        <f t="shared" si="5"/>
        <v>0</v>
      </c>
    </row>
    <row r="32" spans="1:32" ht="42" customHeight="1">
      <c r="B32" s="42">
        <v>7</v>
      </c>
      <c r="C32" s="40">
        <f t="shared" si="5"/>
        <v>1</v>
      </c>
      <c r="D32" s="40">
        <f t="shared" si="5"/>
        <v>1</v>
      </c>
      <c r="E32" s="40">
        <f t="shared" si="5"/>
        <v>1</v>
      </c>
      <c r="F32" s="40">
        <f t="shared" si="5"/>
        <v>1</v>
      </c>
      <c r="G32" s="40">
        <f t="shared" si="5"/>
        <v>1</v>
      </c>
      <c r="H32" s="40">
        <f t="shared" si="5"/>
        <v>1</v>
      </c>
      <c r="I32" s="40">
        <f t="shared" si="5"/>
        <v>1</v>
      </c>
      <c r="J32" s="40">
        <f t="shared" si="5"/>
        <v>1</v>
      </c>
      <c r="K32" s="40">
        <f t="shared" si="5"/>
        <v>1</v>
      </c>
      <c r="L32" s="40">
        <f t="shared" si="5"/>
        <v>1</v>
      </c>
      <c r="M32" s="40">
        <f t="shared" si="5"/>
        <v>1</v>
      </c>
      <c r="N32" s="40">
        <f t="shared" si="5"/>
        <v>1</v>
      </c>
      <c r="O32" s="40">
        <f t="shared" si="5"/>
        <v>1</v>
      </c>
      <c r="P32" s="40">
        <f t="shared" si="5"/>
        <v>1</v>
      </c>
      <c r="Q32" s="40">
        <f t="shared" si="5"/>
        <v>1</v>
      </c>
      <c r="R32" s="40">
        <f t="shared" si="5"/>
        <v>1</v>
      </c>
      <c r="S32" s="40">
        <f t="shared" si="5"/>
        <v>1</v>
      </c>
      <c r="T32" s="40">
        <f t="shared" si="5"/>
        <v>1</v>
      </c>
      <c r="U32" s="40">
        <f t="shared" si="5"/>
        <v>1</v>
      </c>
      <c r="V32" s="40">
        <f t="shared" si="5"/>
        <v>1</v>
      </c>
      <c r="W32" s="40">
        <f t="shared" si="5"/>
        <v>1</v>
      </c>
      <c r="X32" s="40">
        <f t="shared" si="5"/>
        <v>1</v>
      </c>
      <c r="Y32" s="40">
        <f t="shared" si="5"/>
        <v>1</v>
      </c>
      <c r="Z32" s="40">
        <f t="shared" si="5"/>
        <v>1</v>
      </c>
      <c r="AA32" s="40">
        <f t="shared" si="5"/>
        <v>1</v>
      </c>
      <c r="AB32" s="40">
        <f t="shared" si="5"/>
        <v>1</v>
      </c>
      <c r="AC32" s="40">
        <f t="shared" si="5"/>
        <v>1</v>
      </c>
      <c r="AD32" s="40">
        <f t="shared" si="5"/>
        <v>1</v>
      </c>
      <c r="AE32" s="40">
        <f t="shared" si="5"/>
        <v>1</v>
      </c>
      <c r="AF32" s="40">
        <f t="shared" si="5"/>
        <v>1</v>
      </c>
    </row>
    <row r="33" spans="2:32" ht="42" customHeight="1">
      <c r="B33" s="42">
        <v>8</v>
      </c>
      <c r="C33" s="40">
        <f t="shared" si="5"/>
        <v>1</v>
      </c>
      <c r="D33" s="40">
        <f t="shared" si="5"/>
        <v>1</v>
      </c>
      <c r="E33" s="40">
        <f t="shared" si="5"/>
        <v>1</v>
      </c>
      <c r="F33" s="40">
        <f t="shared" si="5"/>
        <v>1</v>
      </c>
      <c r="G33" s="40">
        <f t="shared" si="5"/>
        <v>1</v>
      </c>
      <c r="H33" s="40">
        <f t="shared" si="5"/>
        <v>1</v>
      </c>
      <c r="I33" s="40">
        <f t="shared" si="5"/>
        <v>1</v>
      </c>
      <c r="J33" s="40">
        <f t="shared" si="5"/>
        <v>1</v>
      </c>
      <c r="K33" s="40">
        <f t="shared" si="5"/>
        <v>1</v>
      </c>
      <c r="L33" s="40">
        <f t="shared" si="5"/>
        <v>1</v>
      </c>
      <c r="M33" s="40">
        <f t="shared" si="5"/>
        <v>1</v>
      </c>
      <c r="N33" s="40">
        <f t="shared" si="5"/>
        <v>1</v>
      </c>
      <c r="O33" s="40">
        <f t="shared" si="5"/>
        <v>1</v>
      </c>
      <c r="P33" s="40">
        <f t="shared" si="5"/>
        <v>1</v>
      </c>
      <c r="Q33" s="40">
        <f t="shared" si="5"/>
        <v>1</v>
      </c>
      <c r="R33" s="40">
        <f t="shared" si="5"/>
        <v>1</v>
      </c>
      <c r="S33" s="40">
        <f t="shared" si="5"/>
        <v>1</v>
      </c>
      <c r="T33" s="40">
        <f t="shared" si="5"/>
        <v>1</v>
      </c>
      <c r="U33" s="40">
        <f t="shared" si="5"/>
        <v>1</v>
      </c>
      <c r="V33" s="40">
        <f t="shared" si="5"/>
        <v>1</v>
      </c>
      <c r="W33" s="40">
        <f t="shared" si="5"/>
        <v>1</v>
      </c>
      <c r="X33" s="40">
        <f t="shared" si="5"/>
        <v>1</v>
      </c>
      <c r="Y33" s="40">
        <f t="shared" si="5"/>
        <v>1</v>
      </c>
      <c r="Z33" s="40">
        <f t="shared" si="5"/>
        <v>1</v>
      </c>
      <c r="AA33" s="40">
        <f t="shared" si="5"/>
        <v>1</v>
      </c>
      <c r="AB33" s="40">
        <f t="shared" si="5"/>
        <v>1</v>
      </c>
      <c r="AC33" s="40">
        <f t="shared" si="5"/>
        <v>1</v>
      </c>
      <c r="AD33" s="40">
        <f t="shared" si="5"/>
        <v>1</v>
      </c>
      <c r="AE33" s="40">
        <f t="shared" si="5"/>
        <v>1</v>
      </c>
      <c r="AF33" s="40">
        <f t="shared" si="5"/>
        <v>1</v>
      </c>
    </row>
    <row r="34" spans="2:32" ht="42" customHeight="1">
      <c r="B34" s="43">
        <v>9</v>
      </c>
      <c r="C34" s="40">
        <f t="shared" si="5"/>
        <v>1</v>
      </c>
      <c r="D34" s="40">
        <f t="shared" si="5"/>
        <v>1</v>
      </c>
      <c r="E34" s="40">
        <f t="shared" si="5"/>
        <v>1</v>
      </c>
      <c r="F34" s="40">
        <f t="shared" si="5"/>
        <v>1</v>
      </c>
      <c r="G34" s="40">
        <f t="shared" si="5"/>
        <v>1</v>
      </c>
      <c r="H34" s="40">
        <f t="shared" si="5"/>
        <v>1</v>
      </c>
      <c r="I34" s="40">
        <f t="shared" si="5"/>
        <v>1</v>
      </c>
      <c r="J34" s="40">
        <f t="shared" ref="J34:AF34" si="6">IF(J11=1,1,0)</f>
        <v>1</v>
      </c>
      <c r="K34" s="40">
        <f t="shared" si="6"/>
        <v>1</v>
      </c>
      <c r="L34" s="40">
        <f t="shared" si="6"/>
        <v>1</v>
      </c>
      <c r="M34" s="40">
        <f t="shared" si="6"/>
        <v>1</v>
      </c>
      <c r="N34" s="40">
        <f t="shared" si="6"/>
        <v>1</v>
      </c>
      <c r="O34" s="40">
        <f t="shared" si="6"/>
        <v>0</v>
      </c>
      <c r="P34" s="40">
        <f t="shared" si="6"/>
        <v>0</v>
      </c>
      <c r="Q34" s="40">
        <f t="shared" si="6"/>
        <v>0</v>
      </c>
      <c r="R34" s="40">
        <f t="shared" si="6"/>
        <v>0</v>
      </c>
      <c r="S34" s="40">
        <f t="shared" si="6"/>
        <v>0</v>
      </c>
      <c r="T34" s="40">
        <f t="shared" si="6"/>
        <v>1</v>
      </c>
      <c r="U34" s="40">
        <f t="shared" si="6"/>
        <v>1</v>
      </c>
      <c r="V34" s="40">
        <f t="shared" si="6"/>
        <v>1</v>
      </c>
      <c r="W34" s="40">
        <f t="shared" si="6"/>
        <v>1</v>
      </c>
      <c r="X34" s="40">
        <f t="shared" si="6"/>
        <v>1</v>
      </c>
      <c r="Y34" s="40">
        <f t="shared" si="6"/>
        <v>0</v>
      </c>
      <c r="Z34" s="40">
        <f t="shared" si="6"/>
        <v>0</v>
      </c>
      <c r="AA34" s="40">
        <f t="shared" si="6"/>
        <v>0</v>
      </c>
      <c r="AB34" s="40">
        <f t="shared" si="6"/>
        <v>1</v>
      </c>
      <c r="AC34" s="40">
        <f t="shared" si="6"/>
        <v>1</v>
      </c>
      <c r="AD34" s="40">
        <f t="shared" si="6"/>
        <v>1</v>
      </c>
      <c r="AE34" s="40">
        <f t="shared" si="6"/>
        <v>1</v>
      </c>
      <c r="AF34" s="40">
        <f t="shared" si="6"/>
        <v>1</v>
      </c>
    </row>
    <row r="35" spans="2:32" ht="42" customHeight="1">
      <c r="B35" s="44">
        <v>10</v>
      </c>
      <c r="C35" s="40">
        <f t="shared" ref="C35:AF38" si="7">IF(C12=1,1,0)</f>
        <v>1</v>
      </c>
      <c r="D35" s="40">
        <f t="shared" si="7"/>
        <v>1</v>
      </c>
      <c r="E35" s="40">
        <f t="shared" si="7"/>
        <v>1</v>
      </c>
      <c r="F35" s="40">
        <f t="shared" si="7"/>
        <v>1</v>
      </c>
      <c r="G35" s="40">
        <f t="shared" si="7"/>
        <v>1</v>
      </c>
      <c r="H35" s="40">
        <f t="shared" si="7"/>
        <v>1</v>
      </c>
      <c r="I35" s="40">
        <f t="shared" si="7"/>
        <v>1</v>
      </c>
      <c r="J35" s="40">
        <f t="shared" si="7"/>
        <v>1</v>
      </c>
      <c r="K35" s="40">
        <f t="shared" si="7"/>
        <v>1</v>
      </c>
      <c r="L35" s="40">
        <f t="shared" si="7"/>
        <v>1</v>
      </c>
      <c r="M35" s="40">
        <f t="shared" si="7"/>
        <v>1</v>
      </c>
      <c r="N35" s="40">
        <f t="shared" si="7"/>
        <v>1</v>
      </c>
      <c r="O35" s="40">
        <f t="shared" si="7"/>
        <v>1</v>
      </c>
      <c r="P35" s="40">
        <f t="shared" si="7"/>
        <v>1</v>
      </c>
      <c r="Q35" s="40">
        <f t="shared" si="7"/>
        <v>1</v>
      </c>
      <c r="R35" s="40">
        <f t="shared" si="7"/>
        <v>1</v>
      </c>
      <c r="S35" s="40">
        <f t="shared" si="7"/>
        <v>1</v>
      </c>
      <c r="T35" s="40">
        <f t="shared" si="7"/>
        <v>1</v>
      </c>
      <c r="U35" s="40">
        <f t="shared" si="7"/>
        <v>1</v>
      </c>
      <c r="V35" s="40">
        <f t="shared" si="7"/>
        <v>1</v>
      </c>
      <c r="W35" s="40">
        <f t="shared" si="7"/>
        <v>1</v>
      </c>
      <c r="X35" s="40">
        <f t="shared" si="7"/>
        <v>1</v>
      </c>
      <c r="Y35" s="40">
        <f t="shared" si="7"/>
        <v>1</v>
      </c>
      <c r="Z35" s="40">
        <f t="shared" si="7"/>
        <v>1</v>
      </c>
      <c r="AA35" s="40">
        <f t="shared" si="7"/>
        <v>1</v>
      </c>
      <c r="AB35" s="40">
        <f t="shared" si="7"/>
        <v>1</v>
      </c>
      <c r="AC35" s="40">
        <f t="shared" si="7"/>
        <v>1</v>
      </c>
      <c r="AD35" s="40">
        <f t="shared" si="7"/>
        <v>1</v>
      </c>
      <c r="AE35" s="40">
        <f t="shared" si="7"/>
        <v>1</v>
      </c>
      <c r="AF35" s="40">
        <f t="shared" si="7"/>
        <v>1</v>
      </c>
    </row>
    <row r="36" spans="2:32" ht="42" customHeight="1">
      <c r="B36" s="44">
        <v>11</v>
      </c>
      <c r="C36" s="40">
        <f t="shared" si="7"/>
        <v>1</v>
      </c>
      <c r="D36" s="40">
        <f t="shared" si="7"/>
        <v>1</v>
      </c>
      <c r="E36" s="40">
        <f t="shared" si="7"/>
        <v>1</v>
      </c>
      <c r="F36" s="40">
        <f t="shared" si="7"/>
        <v>1</v>
      </c>
      <c r="G36" s="40">
        <f t="shared" si="7"/>
        <v>1</v>
      </c>
      <c r="H36" s="40">
        <f t="shared" si="7"/>
        <v>1</v>
      </c>
      <c r="I36" s="40">
        <f t="shared" si="7"/>
        <v>1</v>
      </c>
      <c r="J36" s="40">
        <f t="shared" si="7"/>
        <v>1</v>
      </c>
      <c r="K36" s="40">
        <f t="shared" si="7"/>
        <v>1</v>
      </c>
      <c r="L36" s="40">
        <f t="shared" si="7"/>
        <v>1</v>
      </c>
      <c r="M36" s="40">
        <f t="shared" si="7"/>
        <v>1</v>
      </c>
      <c r="N36" s="40">
        <f t="shared" si="7"/>
        <v>1</v>
      </c>
      <c r="O36" s="40">
        <f t="shared" si="7"/>
        <v>1</v>
      </c>
      <c r="P36" s="40">
        <f t="shared" si="7"/>
        <v>1</v>
      </c>
      <c r="Q36" s="40">
        <f t="shared" si="7"/>
        <v>1</v>
      </c>
      <c r="R36" s="40">
        <f t="shared" si="7"/>
        <v>1</v>
      </c>
      <c r="S36" s="40">
        <f t="shared" si="7"/>
        <v>1</v>
      </c>
      <c r="T36" s="40">
        <f t="shared" si="7"/>
        <v>1</v>
      </c>
      <c r="U36" s="40">
        <f t="shared" si="7"/>
        <v>1</v>
      </c>
      <c r="V36" s="40">
        <f t="shared" si="7"/>
        <v>1</v>
      </c>
      <c r="W36" s="40">
        <f t="shared" si="7"/>
        <v>1</v>
      </c>
      <c r="X36" s="40">
        <f t="shared" si="7"/>
        <v>1</v>
      </c>
      <c r="Y36" s="40">
        <f t="shared" si="7"/>
        <v>1</v>
      </c>
      <c r="Z36" s="40">
        <f t="shared" si="7"/>
        <v>1</v>
      </c>
      <c r="AA36" s="40">
        <f t="shared" si="7"/>
        <v>1</v>
      </c>
      <c r="AB36" s="40">
        <f t="shared" si="7"/>
        <v>1</v>
      </c>
      <c r="AC36" s="40">
        <f t="shared" si="7"/>
        <v>1</v>
      </c>
      <c r="AD36" s="40">
        <f t="shared" si="7"/>
        <v>1</v>
      </c>
      <c r="AE36" s="40">
        <f t="shared" si="7"/>
        <v>1</v>
      </c>
      <c r="AF36" s="40">
        <f t="shared" si="7"/>
        <v>1</v>
      </c>
    </row>
    <row r="37" spans="2:32" ht="42" customHeight="1">
      <c r="B37" s="42">
        <v>12</v>
      </c>
      <c r="C37" s="40">
        <f t="shared" si="7"/>
        <v>1</v>
      </c>
      <c r="D37" s="40">
        <f t="shared" si="7"/>
        <v>1</v>
      </c>
      <c r="E37" s="40">
        <f t="shared" si="7"/>
        <v>1</v>
      </c>
      <c r="F37" s="40">
        <f t="shared" si="7"/>
        <v>1</v>
      </c>
      <c r="G37" s="40">
        <f t="shared" si="7"/>
        <v>1</v>
      </c>
      <c r="H37" s="40">
        <f t="shared" si="7"/>
        <v>1</v>
      </c>
      <c r="I37" s="40">
        <f t="shared" si="7"/>
        <v>1</v>
      </c>
      <c r="J37" s="40">
        <f t="shared" si="7"/>
        <v>1</v>
      </c>
      <c r="K37" s="40">
        <f t="shared" si="7"/>
        <v>1</v>
      </c>
      <c r="L37" s="40">
        <f t="shared" si="7"/>
        <v>1</v>
      </c>
      <c r="M37" s="40">
        <f t="shared" si="7"/>
        <v>1</v>
      </c>
      <c r="N37" s="40">
        <f t="shared" si="7"/>
        <v>1</v>
      </c>
      <c r="O37" s="40">
        <f t="shared" si="7"/>
        <v>1</v>
      </c>
      <c r="P37" s="40">
        <f t="shared" si="7"/>
        <v>1</v>
      </c>
      <c r="Q37" s="40">
        <f t="shared" si="7"/>
        <v>1</v>
      </c>
      <c r="R37" s="40">
        <f t="shared" si="7"/>
        <v>1</v>
      </c>
      <c r="S37" s="40">
        <f t="shared" si="7"/>
        <v>1</v>
      </c>
      <c r="T37" s="40">
        <f t="shared" si="7"/>
        <v>1</v>
      </c>
      <c r="U37" s="40">
        <f t="shared" si="7"/>
        <v>1</v>
      </c>
      <c r="V37" s="40">
        <f t="shared" si="7"/>
        <v>1</v>
      </c>
      <c r="W37" s="40">
        <f t="shared" si="7"/>
        <v>1</v>
      </c>
      <c r="X37" s="40">
        <f t="shared" si="7"/>
        <v>1</v>
      </c>
      <c r="Y37" s="40">
        <f t="shared" si="7"/>
        <v>1</v>
      </c>
      <c r="Z37" s="40">
        <f t="shared" si="7"/>
        <v>1</v>
      </c>
      <c r="AA37" s="40">
        <f t="shared" si="7"/>
        <v>1</v>
      </c>
      <c r="AB37" s="40">
        <f t="shared" si="7"/>
        <v>1</v>
      </c>
      <c r="AC37" s="40">
        <f t="shared" si="7"/>
        <v>1</v>
      </c>
      <c r="AD37" s="40">
        <f t="shared" si="7"/>
        <v>1</v>
      </c>
      <c r="AE37" s="40">
        <f t="shared" si="7"/>
        <v>1</v>
      </c>
      <c r="AF37" s="40">
        <f t="shared" si="7"/>
        <v>1</v>
      </c>
    </row>
    <row r="38" spans="2:32" ht="42" customHeight="1">
      <c r="B38" s="45" t="s">
        <v>111</v>
      </c>
      <c r="C38" s="40">
        <f t="shared" si="7"/>
        <v>1</v>
      </c>
      <c r="D38" s="40">
        <f t="shared" si="7"/>
        <v>1</v>
      </c>
      <c r="E38" s="40">
        <f t="shared" si="7"/>
        <v>1</v>
      </c>
      <c r="F38" s="40">
        <f t="shared" si="7"/>
        <v>1</v>
      </c>
      <c r="G38" s="40">
        <f t="shared" si="7"/>
        <v>1</v>
      </c>
      <c r="H38" s="40">
        <f t="shared" si="7"/>
        <v>1</v>
      </c>
      <c r="I38" s="40">
        <f t="shared" si="7"/>
        <v>1</v>
      </c>
      <c r="J38" s="40">
        <f t="shared" si="7"/>
        <v>1</v>
      </c>
      <c r="K38" s="40">
        <f t="shared" si="7"/>
        <v>1</v>
      </c>
      <c r="L38" s="40">
        <f t="shared" si="7"/>
        <v>1</v>
      </c>
      <c r="M38" s="40">
        <f t="shared" si="7"/>
        <v>1</v>
      </c>
      <c r="N38" s="40">
        <f t="shared" si="7"/>
        <v>1</v>
      </c>
      <c r="O38" s="40">
        <f t="shared" si="7"/>
        <v>1</v>
      </c>
      <c r="P38" s="40">
        <f t="shared" si="7"/>
        <v>1</v>
      </c>
      <c r="Q38" s="40">
        <f t="shared" si="7"/>
        <v>1</v>
      </c>
      <c r="R38" s="40">
        <f t="shared" si="7"/>
        <v>1</v>
      </c>
      <c r="S38" s="40">
        <f t="shared" si="7"/>
        <v>1</v>
      </c>
      <c r="T38" s="40">
        <f t="shared" si="7"/>
        <v>1</v>
      </c>
      <c r="U38" s="40">
        <f t="shared" si="7"/>
        <v>1</v>
      </c>
      <c r="V38" s="40">
        <f t="shared" si="7"/>
        <v>1</v>
      </c>
      <c r="W38" s="40">
        <f t="shared" si="7"/>
        <v>1</v>
      </c>
      <c r="X38" s="40">
        <f t="shared" si="7"/>
        <v>1</v>
      </c>
      <c r="Y38" s="40">
        <f t="shared" si="7"/>
        <v>1</v>
      </c>
      <c r="Z38" s="40">
        <f t="shared" si="7"/>
        <v>1</v>
      </c>
      <c r="AA38" s="40">
        <f t="shared" si="7"/>
        <v>1</v>
      </c>
      <c r="AB38" s="40">
        <f t="shared" si="7"/>
        <v>1</v>
      </c>
      <c r="AC38" s="40">
        <f t="shared" si="7"/>
        <v>1</v>
      </c>
      <c r="AD38" s="40">
        <f t="shared" si="7"/>
        <v>1</v>
      </c>
      <c r="AE38" s="40">
        <f t="shared" si="7"/>
        <v>1</v>
      </c>
      <c r="AF38" s="40">
        <f t="shared" si="7"/>
        <v>1</v>
      </c>
    </row>
  </sheetData>
  <mergeCells count="11">
    <mergeCell ref="D4:F4"/>
    <mergeCell ref="O3:R3"/>
    <mergeCell ref="G4:I4"/>
    <mergeCell ref="Q5:U5"/>
    <mergeCell ref="Y3:AA4"/>
    <mergeCell ref="AD8:AF8"/>
    <mergeCell ref="Y11:AA11"/>
    <mergeCell ref="O11:S11"/>
    <mergeCell ref="U4:W4"/>
    <mergeCell ref="I5:L5"/>
    <mergeCell ref="Y8:AA8"/>
  </mergeCells>
  <conditionalFormatting sqref="C17:AF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6923-AE8D-4C51-809E-31A43500A901}">
  <sheetPr>
    <tabColor theme="4" tint="0.59999389629810485"/>
  </sheetPr>
  <dimension ref="A1:AG38"/>
  <sheetViews>
    <sheetView zoomScale="40" zoomScaleNormal="40" workbookViewId="0">
      <pane xSplit="2" ySplit="2" topLeftCell="L3" activePane="bottomRight" state="frozen"/>
      <selection pane="bottomRight" activeCell="Y5" sqref="Y5:AB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33" width="16.710937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28" t="s">
        <v>7</v>
      </c>
      <c r="D2" s="28" t="s">
        <v>8</v>
      </c>
      <c r="E2" s="30" t="s">
        <v>2</v>
      </c>
      <c r="F2" s="31" t="s">
        <v>3</v>
      </c>
      <c r="G2" s="28" t="s">
        <v>4</v>
      </c>
      <c r="H2" s="28" t="s">
        <v>5</v>
      </c>
      <c r="I2" s="29" t="s">
        <v>6</v>
      </c>
      <c r="J2" s="28" t="s">
        <v>7</v>
      </c>
      <c r="K2" s="28" t="s">
        <v>8</v>
      </c>
      <c r="L2" s="30" t="s">
        <v>2</v>
      </c>
      <c r="M2" s="31" t="s">
        <v>3</v>
      </c>
      <c r="N2" s="28" t="s">
        <v>4</v>
      </c>
      <c r="O2" s="28" t="s">
        <v>5</v>
      </c>
      <c r="P2" s="29" t="s">
        <v>6</v>
      </c>
      <c r="Q2" s="28" t="s">
        <v>7</v>
      </c>
      <c r="R2" s="28" t="s">
        <v>8</v>
      </c>
      <c r="S2" s="30" t="s">
        <v>2</v>
      </c>
      <c r="T2" s="31" t="s">
        <v>3</v>
      </c>
      <c r="U2" s="28" t="s">
        <v>4</v>
      </c>
      <c r="V2" s="28" t="s">
        <v>5</v>
      </c>
      <c r="W2" s="29" t="s">
        <v>6</v>
      </c>
      <c r="X2" s="28" t="s">
        <v>7</v>
      </c>
      <c r="Y2" s="28" t="s">
        <v>8</v>
      </c>
      <c r="Z2" s="30" t="s">
        <v>2</v>
      </c>
      <c r="AA2" s="31" t="s">
        <v>3</v>
      </c>
      <c r="AB2" s="28" t="s">
        <v>4</v>
      </c>
      <c r="AC2" s="28" t="s">
        <v>5</v>
      </c>
      <c r="AD2" s="29" t="s">
        <v>6</v>
      </c>
      <c r="AE2" s="28" t="s">
        <v>7</v>
      </c>
      <c r="AF2" s="28" t="s">
        <v>8</v>
      </c>
      <c r="AG2" s="30" t="s">
        <v>2</v>
      </c>
    </row>
    <row r="3" spans="1:33" ht="85.5" customHeight="1">
      <c r="A3" s="32">
        <v>1</v>
      </c>
      <c r="B3" s="33" t="s">
        <v>9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  <c r="H3" s="23">
        <v>1</v>
      </c>
      <c r="I3" s="23">
        <v>1</v>
      </c>
      <c r="J3" s="23">
        <v>1</v>
      </c>
      <c r="K3" s="23">
        <v>1</v>
      </c>
      <c r="L3" s="23">
        <v>1</v>
      </c>
      <c r="M3" s="23">
        <v>1</v>
      </c>
      <c r="N3" s="23">
        <v>1</v>
      </c>
      <c r="O3" s="23">
        <v>1</v>
      </c>
      <c r="P3" s="23">
        <v>1</v>
      </c>
      <c r="Q3" s="23">
        <v>1</v>
      </c>
      <c r="R3" s="23">
        <v>1</v>
      </c>
      <c r="S3" s="23">
        <v>1</v>
      </c>
      <c r="T3" s="23">
        <v>1</v>
      </c>
      <c r="U3" s="23">
        <v>1</v>
      </c>
      <c r="V3" s="23">
        <v>1</v>
      </c>
      <c r="W3" s="23">
        <v>1</v>
      </c>
      <c r="X3" s="23">
        <v>1</v>
      </c>
      <c r="Y3" s="23">
        <v>1</v>
      </c>
      <c r="Z3" s="23">
        <v>1</v>
      </c>
      <c r="AA3" s="23">
        <v>1</v>
      </c>
      <c r="AB3" s="23">
        <v>1</v>
      </c>
      <c r="AC3" s="23">
        <v>1</v>
      </c>
      <c r="AD3" s="23">
        <v>1</v>
      </c>
      <c r="AE3" s="23">
        <v>1</v>
      </c>
      <c r="AF3" s="23">
        <v>1</v>
      </c>
      <c r="AG3" s="127"/>
    </row>
    <row r="4" spans="1:33" ht="85.5" customHeight="1">
      <c r="A4" s="34">
        <v>2</v>
      </c>
      <c r="B4" s="33" t="s">
        <v>9</v>
      </c>
      <c r="C4" s="23">
        <v>1</v>
      </c>
      <c r="D4" s="23">
        <v>1</v>
      </c>
      <c r="E4" s="23">
        <v>1</v>
      </c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1</v>
      </c>
      <c r="P4" s="23">
        <v>1</v>
      </c>
      <c r="Q4" s="23">
        <v>1</v>
      </c>
      <c r="R4" s="23">
        <v>1</v>
      </c>
      <c r="S4" s="23">
        <v>1</v>
      </c>
      <c r="T4" s="23">
        <v>1</v>
      </c>
      <c r="U4" s="23">
        <v>1</v>
      </c>
      <c r="V4" s="23">
        <v>1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B4" s="23">
        <v>1</v>
      </c>
      <c r="AC4" s="23">
        <v>1</v>
      </c>
      <c r="AD4" s="23">
        <v>1</v>
      </c>
      <c r="AE4" s="23">
        <v>1</v>
      </c>
      <c r="AF4" s="23">
        <v>1</v>
      </c>
      <c r="AG4" s="23">
        <v>1</v>
      </c>
    </row>
    <row r="5" spans="1:33" ht="108" customHeight="1">
      <c r="A5" s="34">
        <v>3</v>
      </c>
      <c r="B5" s="33" t="s">
        <v>29</v>
      </c>
      <c r="C5" s="23">
        <v>1</v>
      </c>
      <c r="D5" s="23">
        <v>1</v>
      </c>
      <c r="E5" s="23">
        <v>1</v>
      </c>
      <c r="F5" s="23">
        <v>1</v>
      </c>
      <c r="G5" s="23">
        <v>1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546" t="s">
        <v>724</v>
      </c>
      <c r="S5" s="547"/>
      <c r="T5" s="547"/>
      <c r="U5" s="548"/>
      <c r="V5" s="23">
        <v>1</v>
      </c>
      <c r="W5" s="23">
        <v>1</v>
      </c>
      <c r="X5" s="23">
        <v>1</v>
      </c>
      <c r="Y5" s="228" t="s">
        <v>725</v>
      </c>
      <c r="Z5" s="229"/>
      <c r="AA5" s="229"/>
      <c r="AB5" s="230"/>
      <c r="AC5" s="281" t="s">
        <v>726</v>
      </c>
      <c r="AD5" s="282"/>
      <c r="AE5" s="297"/>
      <c r="AF5" s="656" t="s">
        <v>727</v>
      </c>
      <c r="AG5" s="229"/>
    </row>
    <row r="6" spans="1:33" ht="108" customHeight="1">
      <c r="A6" s="34">
        <v>4</v>
      </c>
      <c r="B6" s="33" t="s">
        <v>37</v>
      </c>
      <c r="C6" s="23">
        <v>1</v>
      </c>
      <c r="D6" s="23">
        <v>1</v>
      </c>
      <c r="E6" s="23">
        <v>1</v>
      </c>
      <c r="F6" s="23">
        <v>1</v>
      </c>
      <c r="G6" s="281" t="s">
        <v>728</v>
      </c>
      <c r="H6" s="282"/>
      <c r="I6" s="297"/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23">
        <v>1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X6" s="23">
        <v>1</v>
      </c>
      <c r="Y6" s="23">
        <v>1</v>
      </c>
      <c r="Z6" s="23">
        <v>1</v>
      </c>
      <c r="AA6" s="84"/>
      <c r="AB6" s="84"/>
      <c r="AC6" s="84"/>
      <c r="AD6" s="592" t="s">
        <v>591</v>
      </c>
      <c r="AE6" s="592"/>
      <c r="AF6" s="592"/>
      <c r="AG6" s="23">
        <v>1</v>
      </c>
    </row>
    <row r="7" spans="1:33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B7" s="23">
        <v>1</v>
      </c>
      <c r="AC7" s="23">
        <v>1</v>
      </c>
      <c r="AD7" s="592"/>
      <c r="AE7" s="592"/>
      <c r="AF7" s="592"/>
      <c r="AG7" s="23">
        <v>1</v>
      </c>
    </row>
    <row r="8" spans="1:33" ht="103.35" customHeight="1">
      <c r="A8" s="34">
        <v>6</v>
      </c>
      <c r="B8" s="33" t="s">
        <v>9</v>
      </c>
      <c r="C8" s="177" t="s">
        <v>721</v>
      </c>
      <c r="D8" s="23">
        <v>1</v>
      </c>
      <c r="E8" s="23">
        <v>1</v>
      </c>
      <c r="F8" s="23">
        <v>1</v>
      </c>
      <c r="G8" s="23">
        <v>1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  <c r="R8" s="23">
        <v>1</v>
      </c>
      <c r="S8" s="23">
        <v>1</v>
      </c>
      <c r="T8" s="23">
        <v>1</v>
      </c>
      <c r="U8" s="23">
        <v>1</v>
      </c>
      <c r="V8" s="23">
        <v>1</v>
      </c>
      <c r="W8" s="215" t="s">
        <v>729</v>
      </c>
      <c r="X8" s="279"/>
      <c r="Y8" s="279"/>
      <c r="Z8" s="279"/>
      <c r="AA8" s="279"/>
      <c r="AB8" s="279"/>
      <c r="AC8" s="225"/>
      <c r="AD8" s="23">
        <v>1</v>
      </c>
      <c r="AE8" s="23">
        <v>1</v>
      </c>
      <c r="AF8" s="23">
        <v>1</v>
      </c>
      <c r="AG8" s="194" t="s">
        <v>730</v>
      </c>
    </row>
    <row r="9" spans="1:33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  <c r="AD9" s="631" t="s">
        <v>731</v>
      </c>
      <c r="AE9" s="631"/>
      <c r="AF9" s="631"/>
      <c r="AG9" s="23">
        <v>1</v>
      </c>
    </row>
    <row r="10" spans="1:33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1</v>
      </c>
      <c r="O10" s="23">
        <v>1</v>
      </c>
      <c r="P10" s="23">
        <v>1</v>
      </c>
      <c r="Q10" s="23">
        <v>1</v>
      </c>
      <c r="R10" s="23">
        <v>1</v>
      </c>
      <c r="S10" s="23">
        <v>1</v>
      </c>
      <c r="T10" s="23">
        <v>1</v>
      </c>
      <c r="U10" s="23">
        <v>1</v>
      </c>
      <c r="V10" s="23">
        <v>1</v>
      </c>
      <c r="W10" s="23">
        <v>1</v>
      </c>
      <c r="X10" s="121">
        <v>1</v>
      </c>
      <c r="Y10" s="121"/>
      <c r="Z10" s="121"/>
      <c r="AA10" s="121"/>
      <c r="AB10" s="121"/>
      <c r="AC10" s="121"/>
      <c r="AD10" s="237"/>
      <c r="AE10" s="237"/>
      <c r="AF10" s="237"/>
      <c r="AG10" s="121"/>
    </row>
    <row r="11" spans="1:33" ht="85.5" customHeight="1">
      <c r="A11" s="34">
        <v>9</v>
      </c>
      <c r="B11" s="35" t="s">
        <v>29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13" t="s">
        <v>732</v>
      </c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27"/>
      <c r="U11" s="69"/>
      <c r="V11" s="68"/>
      <c r="W11" s="68"/>
      <c r="X11" s="207" t="s">
        <v>733</v>
      </c>
      <c r="Y11" s="271"/>
      <c r="Z11" s="271"/>
      <c r="AA11" s="271"/>
      <c r="AB11" s="271"/>
      <c r="AC11" s="271"/>
      <c r="AD11" s="271"/>
      <c r="AE11" s="271"/>
      <c r="AF11" s="271"/>
      <c r="AG11" s="272"/>
    </row>
    <row r="12" spans="1:33" ht="85.5" customHeight="1">
      <c r="A12" s="34">
        <v>10</v>
      </c>
      <c r="B12" s="33" t="s">
        <v>37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  <c r="AG12" s="23">
        <v>1</v>
      </c>
    </row>
    <row r="13" spans="1:33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13" t="s">
        <v>734</v>
      </c>
      <c r="AA13" s="214"/>
      <c r="AB13" s="214"/>
      <c r="AC13" s="214"/>
      <c r="AD13" s="214"/>
      <c r="AE13" s="214"/>
      <c r="AF13" s="214"/>
      <c r="AG13" s="227"/>
    </row>
    <row r="14" spans="1:33" ht="85.5" customHeight="1">
      <c r="A14" s="34">
        <v>12</v>
      </c>
      <c r="B14" s="33" t="s">
        <v>9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  <c r="K14" s="23">
        <v>1</v>
      </c>
      <c r="L14" s="23">
        <v>1</v>
      </c>
      <c r="M14" s="23">
        <v>1</v>
      </c>
      <c r="N14" s="23">
        <v>1</v>
      </c>
      <c r="O14" s="23">
        <v>1</v>
      </c>
      <c r="P14" s="23">
        <v>1</v>
      </c>
      <c r="Q14" s="23">
        <v>1</v>
      </c>
      <c r="R14" s="23">
        <v>1</v>
      </c>
      <c r="S14" s="23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81" t="s">
        <v>735</v>
      </c>
      <c r="AG14" s="297"/>
    </row>
    <row r="15" spans="1:33" ht="85.5" customHeight="1">
      <c r="A15" s="34" t="s">
        <v>111</v>
      </c>
      <c r="B15" s="33" t="s">
        <v>112</v>
      </c>
      <c r="C15" s="23">
        <v>1</v>
      </c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3">
        <v>1</v>
      </c>
      <c r="T15" s="215" t="s">
        <v>736</v>
      </c>
      <c r="U15" s="279"/>
      <c r="V15" s="225"/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B15" s="23">
        <v>1</v>
      </c>
      <c r="AC15" s="23">
        <v>1</v>
      </c>
      <c r="AD15" s="23">
        <v>1</v>
      </c>
      <c r="AE15" s="23">
        <v>1</v>
      </c>
      <c r="AF15" s="654" t="s">
        <v>737</v>
      </c>
      <c r="AG15" s="655"/>
    </row>
    <row r="16" spans="1:33" ht="84.95" customHeight="1">
      <c r="A16" s="36"/>
      <c r="B16" s="37"/>
      <c r="C16" s="38" t="e">
        <f>(30*13-SUM(C17:AF20))/(30*13)</f>
        <v>#REF!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3" ht="85.5" customHeight="1">
      <c r="A17" s="2"/>
      <c r="B17" s="3" t="s">
        <v>121</v>
      </c>
      <c r="C17" s="2">
        <f t="shared" ref="C17:AG17" si="0">C28+C34</f>
        <v>2</v>
      </c>
      <c r="D17" s="2">
        <f t="shared" si="0"/>
        <v>2</v>
      </c>
      <c r="E17" s="4">
        <f t="shared" si="0"/>
        <v>2</v>
      </c>
      <c r="F17" s="4">
        <f t="shared" si="0"/>
        <v>2</v>
      </c>
      <c r="G17" s="4">
        <f t="shared" si="0"/>
        <v>2</v>
      </c>
      <c r="H17" s="4">
        <f t="shared" si="0"/>
        <v>2</v>
      </c>
      <c r="I17" s="4">
        <f t="shared" si="0"/>
        <v>1</v>
      </c>
      <c r="J17" s="4">
        <f t="shared" si="0"/>
        <v>1</v>
      </c>
      <c r="K17" s="4">
        <f t="shared" si="0"/>
        <v>1</v>
      </c>
      <c r="L17" s="4">
        <f t="shared" si="0"/>
        <v>1</v>
      </c>
      <c r="M17" s="4">
        <f t="shared" si="0"/>
        <v>1</v>
      </c>
      <c r="N17" s="4">
        <f t="shared" si="0"/>
        <v>1</v>
      </c>
      <c r="O17" s="4">
        <f t="shared" si="0"/>
        <v>1</v>
      </c>
      <c r="P17" s="4">
        <f t="shared" si="0"/>
        <v>1</v>
      </c>
      <c r="Q17" s="4">
        <f t="shared" si="0"/>
        <v>1</v>
      </c>
      <c r="R17" s="4">
        <f t="shared" si="0"/>
        <v>0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1</v>
      </c>
      <c r="W17" s="4">
        <f t="shared" si="0"/>
        <v>1</v>
      </c>
      <c r="X17" s="4">
        <f t="shared" si="0"/>
        <v>1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si="0"/>
        <v>0</v>
      </c>
    </row>
    <row r="18" spans="1:33" ht="85.5" customHeight="1">
      <c r="A18" s="2"/>
      <c r="B18" s="3" t="s">
        <v>122</v>
      </c>
      <c r="C18" s="2">
        <f t="shared" ref="C18:AG18" si="1">C26+C27+C31+C32+C33+C37</f>
        <v>5</v>
      </c>
      <c r="D18" s="2">
        <f t="shared" si="1"/>
        <v>6</v>
      </c>
      <c r="E18" s="4">
        <f t="shared" si="1"/>
        <v>6</v>
      </c>
      <c r="F18" s="4">
        <f t="shared" si="1"/>
        <v>6</v>
      </c>
      <c r="G18" s="4">
        <f t="shared" si="1"/>
        <v>6</v>
      </c>
      <c r="H18" s="4">
        <f t="shared" si="1"/>
        <v>6</v>
      </c>
      <c r="I18" s="4">
        <f t="shared" si="1"/>
        <v>6</v>
      </c>
      <c r="J18" s="4">
        <f t="shared" si="1"/>
        <v>6</v>
      </c>
      <c r="K18" s="4">
        <f t="shared" si="1"/>
        <v>6</v>
      </c>
      <c r="L18" s="4">
        <f t="shared" si="1"/>
        <v>6</v>
      </c>
      <c r="M18" s="4">
        <f t="shared" si="1"/>
        <v>6</v>
      </c>
      <c r="N18" s="4">
        <f t="shared" si="1"/>
        <v>6</v>
      </c>
      <c r="O18" s="4">
        <f t="shared" si="1"/>
        <v>6</v>
      </c>
      <c r="P18" s="4">
        <f t="shared" si="1"/>
        <v>6</v>
      </c>
      <c r="Q18" s="4">
        <f t="shared" si="1"/>
        <v>6</v>
      </c>
      <c r="R18" s="4">
        <f t="shared" si="1"/>
        <v>6</v>
      </c>
      <c r="S18" s="4">
        <f t="shared" si="1"/>
        <v>6</v>
      </c>
      <c r="T18" s="4">
        <f t="shared" si="1"/>
        <v>6</v>
      </c>
      <c r="U18" s="4">
        <f t="shared" si="1"/>
        <v>6</v>
      </c>
      <c r="V18" s="4">
        <f t="shared" si="1"/>
        <v>6</v>
      </c>
      <c r="W18" s="4">
        <f t="shared" si="1"/>
        <v>5</v>
      </c>
      <c r="X18" s="4">
        <f t="shared" si="1"/>
        <v>5</v>
      </c>
      <c r="Y18" s="4">
        <f t="shared" si="1"/>
        <v>4</v>
      </c>
      <c r="Z18" s="4">
        <f t="shared" si="1"/>
        <v>4</v>
      </c>
      <c r="AA18" s="4">
        <f t="shared" si="1"/>
        <v>4</v>
      </c>
      <c r="AB18" s="4">
        <f t="shared" si="1"/>
        <v>4</v>
      </c>
      <c r="AC18" s="4">
        <f t="shared" si="1"/>
        <v>4</v>
      </c>
      <c r="AD18" s="4">
        <f t="shared" si="1"/>
        <v>4</v>
      </c>
      <c r="AE18" s="4">
        <f t="shared" si="1"/>
        <v>4</v>
      </c>
      <c r="AF18" s="4">
        <f t="shared" si="1"/>
        <v>3</v>
      </c>
      <c r="AG18" s="4">
        <f t="shared" si="1"/>
        <v>2</v>
      </c>
    </row>
    <row r="19" spans="1:33" ht="85.5" customHeight="1">
      <c r="A19" s="2"/>
      <c r="B19" s="3" t="s">
        <v>123</v>
      </c>
      <c r="C19" s="2">
        <f t="shared" ref="C19:AG19" si="2">C29+C30+C35+C36</f>
        <v>4</v>
      </c>
      <c r="D19" s="2">
        <f t="shared" si="2"/>
        <v>4</v>
      </c>
      <c r="E19" s="4">
        <f t="shared" si="2"/>
        <v>4</v>
      </c>
      <c r="F19" s="4">
        <f t="shared" si="2"/>
        <v>4</v>
      </c>
      <c r="G19" s="4">
        <f t="shared" si="2"/>
        <v>3</v>
      </c>
      <c r="H19" s="4">
        <f t="shared" si="2"/>
        <v>3</v>
      </c>
      <c r="I19" s="4">
        <f t="shared" si="2"/>
        <v>3</v>
      </c>
      <c r="J19" s="4">
        <f t="shared" si="2"/>
        <v>4</v>
      </c>
      <c r="K19" s="4">
        <f t="shared" si="2"/>
        <v>4</v>
      </c>
      <c r="L19" s="4">
        <f t="shared" si="2"/>
        <v>4</v>
      </c>
      <c r="M19" s="4">
        <f t="shared" si="2"/>
        <v>4</v>
      </c>
      <c r="N19" s="4">
        <f t="shared" si="2"/>
        <v>4</v>
      </c>
      <c r="O19" s="4">
        <f t="shared" si="2"/>
        <v>4</v>
      </c>
      <c r="P19" s="4">
        <f t="shared" si="2"/>
        <v>4</v>
      </c>
      <c r="Q19" s="4">
        <f t="shared" si="2"/>
        <v>4</v>
      </c>
      <c r="R19" s="4">
        <f t="shared" si="2"/>
        <v>4</v>
      </c>
      <c r="S19" s="4">
        <f t="shared" si="2"/>
        <v>4</v>
      </c>
      <c r="T19" s="4">
        <f t="shared" si="2"/>
        <v>4</v>
      </c>
      <c r="U19" s="4">
        <f t="shared" si="2"/>
        <v>4</v>
      </c>
      <c r="V19" s="4">
        <f t="shared" si="2"/>
        <v>4</v>
      </c>
      <c r="W19" s="4">
        <f t="shared" si="2"/>
        <v>4</v>
      </c>
      <c r="X19" s="4">
        <f t="shared" si="2"/>
        <v>4</v>
      </c>
      <c r="Y19" s="4">
        <f t="shared" si="2"/>
        <v>4</v>
      </c>
      <c r="Z19" s="4">
        <f t="shared" si="2"/>
        <v>3</v>
      </c>
      <c r="AA19" s="4">
        <f t="shared" si="2"/>
        <v>2</v>
      </c>
      <c r="AB19" s="4">
        <f t="shared" si="2"/>
        <v>2</v>
      </c>
      <c r="AC19" s="4">
        <f t="shared" si="2"/>
        <v>2</v>
      </c>
      <c r="AD19" s="4" t="e">
        <f t="shared" si="2"/>
        <v>#REF!</v>
      </c>
      <c r="AE19" s="4">
        <f t="shared" si="2"/>
        <v>1</v>
      </c>
      <c r="AF19" s="4">
        <f t="shared" si="2"/>
        <v>1</v>
      </c>
      <c r="AG19" s="4">
        <f t="shared" si="2"/>
        <v>3</v>
      </c>
    </row>
    <row r="20" spans="1:33" ht="85.5" customHeight="1">
      <c r="A20" s="2"/>
      <c r="B20" s="3" t="s">
        <v>124</v>
      </c>
      <c r="C20" s="2">
        <f t="shared" ref="C20:AG20" si="3">C38</f>
        <v>1</v>
      </c>
      <c r="D20" s="2">
        <f t="shared" si="3"/>
        <v>1</v>
      </c>
      <c r="E20" s="4">
        <f t="shared" si="3"/>
        <v>1</v>
      </c>
      <c r="F20" s="4">
        <f t="shared" si="3"/>
        <v>1</v>
      </c>
      <c r="G20" s="4">
        <f t="shared" si="3"/>
        <v>1</v>
      </c>
      <c r="H20" s="4">
        <f t="shared" si="3"/>
        <v>1</v>
      </c>
      <c r="I20" s="4">
        <f t="shared" si="3"/>
        <v>1</v>
      </c>
      <c r="J20" s="4">
        <f t="shared" si="3"/>
        <v>1</v>
      </c>
      <c r="K20" s="4">
        <f t="shared" si="3"/>
        <v>1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1</v>
      </c>
      <c r="P20" s="4">
        <f t="shared" si="3"/>
        <v>1</v>
      </c>
      <c r="Q20" s="4">
        <f t="shared" si="3"/>
        <v>1</v>
      </c>
      <c r="R20" s="4">
        <f t="shared" si="3"/>
        <v>1</v>
      </c>
      <c r="S20" s="4">
        <f t="shared" si="3"/>
        <v>1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1</v>
      </c>
      <c r="X20" s="4">
        <f t="shared" si="3"/>
        <v>1</v>
      </c>
      <c r="Y20" s="4">
        <f t="shared" si="3"/>
        <v>1</v>
      </c>
      <c r="Z20" s="4">
        <f t="shared" si="3"/>
        <v>1</v>
      </c>
      <c r="AA20" s="4">
        <f t="shared" si="3"/>
        <v>1</v>
      </c>
      <c r="AB20" s="4">
        <f t="shared" si="3"/>
        <v>1</v>
      </c>
      <c r="AC20" s="4">
        <f t="shared" si="3"/>
        <v>1</v>
      </c>
      <c r="AD20" s="4">
        <f t="shared" si="3"/>
        <v>1</v>
      </c>
      <c r="AE20" s="4">
        <f t="shared" si="3"/>
        <v>1</v>
      </c>
      <c r="AF20" s="4">
        <f t="shared" si="3"/>
        <v>0</v>
      </c>
      <c r="AG20" s="4">
        <f t="shared" si="3"/>
        <v>0</v>
      </c>
    </row>
    <row r="21" spans="1:33" ht="85.5" customHeight="1">
      <c r="C21" s="41">
        <f t="shared" ref="C21:AF21" si="4">SUM(C17:C20)</f>
        <v>12</v>
      </c>
      <c r="D21" s="41">
        <f t="shared" si="4"/>
        <v>13</v>
      </c>
      <c r="E21" s="41">
        <f t="shared" si="4"/>
        <v>13</v>
      </c>
      <c r="F21" s="41">
        <f t="shared" si="4"/>
        <v>13</v>
      </c>
      <c r="G21" s="41">
        <f t="shared" si="4"/>
        <v>12</v>
      </c>
      <c r="H21" s="41">
        <f t="shared" si="4"/>
        <v>12</v>
      </c>
      <c r="I21" s="41">
        <f t="shared" si="4"/>
        <v>11</v>
      </c>
      <c r="J21" s="41">
        <f t="shared" si="4"/>
        <v>12</v>
      </c>
      <c r="K21" s="41">
        <f t="shared" si="4"/>
        <v>12</v>
      </c>
      <c r="L21" s="41">
        <f t="shared" si="4"/>
        <v>12</v>
      </c>
      <c r="M21" s="41">
        <f t="shared" si="4"/>
        <v>12</v>
      </c>
      <c r="N21" s="41">
        <f t="shared" si="4"/>
        <v>12</v>
      </c>
      <c r="O21" s="41">
        <f t="shared" si="4"/>
        <v>12</v>
      </c>
      <c r="P21" s="41">
        <f t="shared" si="4"/>
        <v>12</v>
      </c>
      <c r="Q21" s="41">
        <f t="shared" si="4"/>
        <v>12</v>
      </c>
      <c r="R21" s="41">
        <f t="shared" si="4"/>
        <v>11</v>
      </c>
      <c r="S21" s="41">
        <f t="shared" si="4"/>
        <v>11</v>
      </c>
      <c r="T21" s="41">
        <f t="shared" si="4"/>
        <v>10</v>
      </c>
      <c r="U21" s="41">
        <f t="shared" si="4"/>
        <v>10</v>
      </c>
      <c r="V21" s="41">
        <f t="shared" si="4"/>
        <v>11</v>
      </c>
      <c r="W21" s="41">
        <f t="shared" si="4"/>
        <v>11</v>
      </c>
      <c r="X21" s="41">
        <f t="shared" si="4"/>
        <v>11</v>
      </c>
      <c r="Y21" s="41">
        <f t="shared" si="4"/>
        <v>9</v>
      </c>
      <c r="Z21" s="41">
        <f t="shared" si="4"/>
        <v>8</v>
      </c>
      <c r="AA21" s="41">
        <f t="shared" si="4"/>
        <v>7</v>
      </c>
      <c r="AB21" s="41">
        <f t="shared" si="4"/>
        <v>7</v>
      </c>
      <c r="AC21" s="41">
        <f t="shared" si="4"/>
        <v>7</v>
      </c>
      <c r="AD21" s="41" t="e">
        <f t="shared" si="4"/>
        <v>#REF!</v>
      </c>
      <c r="AE21" s="41">
        <f t="shared" si="4"/>
        <v>6</v>
      </c>
      <c r="AF21" s="41">
        <f t="shared" si="4"/>
        <v>4</v>
      </c>
      <c r="AG21" s="41">
        <f t="shared" ref="AG21" si="5">SUM(AG17:AG20)</f>
        <v>5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AG34" si="6">IF(C3=1,1,0)</f>
        <v>1</v>
      </c>
      <c r="D26" s="40">
        <f t="shared" si="6"/>
        <v>1</v>
      </c>
      <c r="E26" s="40">
        <f t="shared" si="6"/>
        <v>1</v>
      </c>
      <c r="F26" s="40">
        <f t="shared" si="6"/>
        <v>1</v>
      </c>
      <c r="G26" s="40">
        <f t="shared" si="6"/>
        <v>1</v>
      </c>
      <c r="H26" s="40">
        <f t="shared" si="6"/>
        <v>1</v>
      </c>
      <c r="I26" s="40">
        <f t="shared" si="6"/>
        <v>1</v>
      </c>
      <c r="J26" s="40">
        <f t="shared" si="6"/>
        <v>1</v>
      </c>
      <c r="K26" s="40">
        <f t="shared" si="6"/>
        <v>1</v>
      </c>
      <c r="L26" s="40">
        <f t="shared" si="6"/>
        <v>1</v>
      </c>
      <c r="M26" s="40">
        <f t="shared" si="6"/>
        <v>1</v>
      </c>
      <c r="N26" s="40">
        <f t="shared" si="6"/>
        <v>1</v>
      </c>
      <c r="O26" s="40">
        <f t="shared" si="6"/>
        <v>1</v>
      </c>
      <c r="P26" s="40">
        <f t="shared" si="6"/>
        <v>1</v>
      </c>
      <c r="Q26" s="40">
        <f t="shared" si="6"/>
        <v>1</v>
      </c>
      <c r="R26" s="40">
        <f t="shared" si="6"/>
        <v>1</v>
      </c>
      <c r="S26" s="40">
        <f t="shared" si="6"/>
        <v>1</v>
      </c>
      <c r="T26" s="40">
        <f t="shared" si="6"/>
        <v>1</v>
      </c>
      <c r="U26" s="40">
        <f t="shared" si="6"/>
        <v>1</v>
      </c>
      <c r="V26" s="40">
        <f t="shared" si="6"/>
        <v>1</v>
      </c>
      <c r="W26" s="40">
        <f t="shared" si="6"/>
        <v>1</v>
      </c>
      <c r="X26" s="40">
        <f t="shared" si="6"/>
        <v>1</v>
      </c>
      <c r="Y26" s="40">
        <f t="shared" si="6"/>
        <v>1</v>
      </c>
      <c r="Z26" s="40">
        <f t="shared" si="6"/>
        <v>1</v>
      </c>
      <c r="AA26" s="40">
        <f t="shared" si="6"/>
        <v>1</v>
      </c>
      <c r="AB26" s="40">
        <f t="shared" si="6"/>
        <v>1</v>
      </c>
      <c r="AC26" s="40">
        <f t="shared" si="6"/>
        <v>1</v>
      </c>
      <c r="AD26" s="40">
        <f t="shared" si="6"/>
        <v>1</v>
      </c>
      <c r="AE26" s="40">
        <f t="shared" si="6"/>
        <v>1</v>
      </c>
      <c r="AF26" s="40">
        <f t="shared" si="6"/>
        <v>1</v>
      </c>
      <c r="AG26" s="40">
        <f t="shared" si="6"/>
        <v>0</v>
      </c>
    </row>
    <row r="27" spans="1:33" ht="42" customHeight="1">
      <c r="B27" s="42">
        <v>2</v>
      </c>
      <c r="C27" s="40">
        <f t="shared" si="6"/>
        <v>1</v>
      </c>
      <c r="D27" s="40">
        <f t="shared" si="6"/>
        <v>1</v>
      </c>
      <c r="E27" s="40">
        <f t="shared" si="6"/>
        <v>1</v>
      </c>
      <c r="F27" s="40">
        <f t="shared" si="6"/>
        <v>1</v>
      </c>
      <c r="G27" s="40">
        <f t="shared" si="6"/>
        <v>1</v>
      </c>
      <c r="H27" s="40">
        <f t="shared" si="6"/>
        <v>1</v>
      </c>
      <c r="I27" s="40">
        <f t="shared" si="6"/>
        <v>1</v>
      </c>
      <c r="J27" s="40">
        <f t="shared" si="6"/>
        <v>1</v>
      </c>
      <c r="K27" s="40">
        <f t="shared" si="6"/>
        <v>1</v>
      </c>
      <c r="L27" s="40">
        <f t="shared" si="6"/>
        <v>1</v>
      </c>
      <c r="M27" s="40">
        <f t="shared" si="6"/>
        <v>1</v>
      </c>
      <c r="N27" s="40">
        <f t="shared" si="6"/>
        <v>1</v>
      </c>
      <c r="O27" s="40">
        <f t="shared" si="6"/>
        <v>1</v>
      </c>
      <c r="P27" s="40">
        <f t="shared" si="6"/>
        <v>1</v>
      </c>
      <c r="Q27" s="40">
        <f t="shared" si="6"/>
        <v>1</v>
      </c>
      <c r="R27" s="40">
        <f t="shared" si="6"/>
        <v>1</v>
      </c>
      <c r="S27" s="40">
        <f t="shared" si="6"/>
        <v>1</v>
      </c>
      <c r="T27" s="40">
        <f t="shared" si="6"/>
        <v>1</v>
      </c>
      <c r="U27" s="40">
        <f t="shared" si="6"/>
        <v>1</v>
      </c>
      <c r="V27" s="40">
        <f t="shared" si="6"/>
        <v>1</v>
      </c>
      <c r="W27" s="40">
        <f t="shared" si="6"/>
        <v>1</v>
      </c>
      <c r="X27" s="40">
        <f t="shared" si="6"/>
        <v>1</v>
      </c>
      <c r="Y27" s="40">
        <f t="shared" si="6"/>
        <v>1</v>
      </c>
      <c r="Z27" s="40">
        <f t="shared" si="6"/>
        <v>1</v>
      </c>
      <c r="AA27" s="40">
        <f t="shared" si="6"/>
        <v>1</v>
      </c>
      <c r="AB27" s="40">
        <f t="shared" si="6"/>
        <v>1</v>
      </c>
      <c r="AC27" s="40">
        <f t="shared" si="6"/>
        <v>1</v>
      </c>
      <c r="AD27" s="40">
        <f t="shared" si="6"/>
        <v>1</v>
      </c>
      <c r="AE27" s="40">
        <f t="shared" si="6"/>
        <v>1</v>
      </c>
      <c r="AF27" s="40">
        <f t="shared" si="6"/>
        <v>1</v>
      </c>
      <c r="AG27" s="40">
        <f t="shared" si="6"/>
        <v>1</v>
      </c>
    </row>
    <row r="28" spans="1:33" ht="42" customHeight="1">
      <c r="B28" s="43">
        <v>3</v>
      </c>
      <c r="C28" s="40">
        <f t="shared" si="6"/>
        <v>1</v>
      </c>
      <c r="D28" s="40">
        <f t="shared" si="6"/>
        <v>1</v>
      </c>
      <c r="E28" s="40">
        <f t="shared" si="6"/>
        <v>1</v>
      </c>
      <c r="F28" s="40">
        <f t="shared" si="6"/>
        <v>1</v>
      </c>
      <c r="G28" s="40">
        <f t="shared" si="6"/>
        <v>1</v>
      </c>
      <c r="H28" s="40">
        <f t="shared" si="6"/>
        <v>1</v>
      </c>
      <c r="I28" s="40">
        <f t="shared" si="6"/>
        <v>1</v>
      </c>
      <c r="J28" s="40">
        <f t="shared" si="6"/>
        <v>1</v>
      </c>
      <c r="K28" s="40">
        <f t="shared" si="6"/>
        <v>1</v>
      </c>
      <c r="L28" s="40">
        <f t="shared" si="6"/>
        <v>1</v>
      </c>
      <c r="M28" s="40">
        <f t="shared" si="6"/>
        <v>1</v>
      </c>
      <c r="N28" s="40">
        <f t="shared" si="6"/>
        <v>1</v>
      </c>
      <c r="O28" s="40">
        <f t="shared" si="6"/>
        <v>1</v>
      </c>
      <c r="P28" s="40">
        <f t="shared" si="6"/>
        <v>1</v>
      </c>
      <c r="Q28" s="40">
        <f t="shared" si="6"/>
        <v>1</v>
      </c>
      <c r="R28" s="40">
        <f t="shared" si="6"/>
        <v>0</v>
      </c>
      <c r="S28" s="40">
        <f t="shared" si="6"/>
        <v>0</v>
      </c>
      <c r="T28" s="40">
        <f t="shared" si="6"/>
        <v>0</v>
      </c>
      <c r="U28" s="40">
        <f t="shared" si="6"/>
        <v>0</v>
      </c>
      <c r="V28" s="40">
        <f t="shared" si="6"/>
        <v>1</v>
      </c>
      <c r="W28" s="40">
        <f t="shared" si="6"/>
        <v>1</v>
      </c>
      <c r="X28" s="40">
        <f t="shared" si="6"/>
        <v>1</v>
      </c>
      <c r="Y28" s="40">
        <f t="shared" si="6"/>
        <v>0</v>
      </c>
      <c r="Z28" s="40">
        <f t="shared" si="6"/>
        <v>0</v>
      </c>
      <c r="AA28" s="40">
        <f t="shared" si="6"/>
        <v>0</v>
      </c>
      <c r="AB28" s="40">
        <f t="shared" si="6"/>
        <v>0</v>
      </c>
      <c r="AC28" s="40">
        <f t="shared" si="6"/>
        <v>0</v>
      </c>
      <c r="AD28" s="40">
        <f t="shared" si="6"/>
        <v>0</v>
      </c>
      <c r="AE28" s="40">
        <f t="shared" si="6"/>
        <v>0</v>
      </c>
      <c r="AF28" s="40">
        <f t="shared" si="6"/>
        <v>0</v>
      </c>
      <c r="AG28" s="40">
        <f t="shared" si="6"/>
        <v>0</v>
      </c>
    </row>
    <row r="29" spans="1:33" ht="42" customHeight="1">
      <c r="B29" s="44">
        <v>4</v>
      </c>
      <c r="C29" s="40">
        <f t="shared" si="6"/>
        <v>1</v>
      </c>
      <c r="D29" s="40">
        <f t="shared" si="6"/>
        <v>1</v>
      </c>
      <c r="E29" s="40">
        <f t="shared" si="6"/>
        <v>1</v>
      </c>
      <c r="F29" s="40">
        <f t="shared" si="6"/>
        <v>1</v>
      </c>
      <c r="G29" s="40">
        <f t="shared" si="6"/>
        <v>0</v>
      </c>
      <c r="H29" s="40">
        <f t="shared" si="6"/>
        <v>0</v>
      </c>
      <c r="I29" s="40">
        <f t="shared" si="6"/>
        <v>0</v>
      </c>
      <c r="J29" s="40">
        <f t="shared" si="6"/>
        <v>1</v>
      </c>
      <c r="K29" s="40">
        <f t="shared" si="6"/>
        <v>1</v>
      </c>
      <c r="L29" s="40">
        <f t="shared" si="6"/>
        <v>1</v>
      </c>
      <c r="M29" s="40">
        <f t="shared" si="6"/>
        <v>1</v>
      </c>
      <c r="N29" s="40">
        <f t="shared" si="6"/>
        <v>1</v>
      </c>
      <c r="O29" s="40">
        <f t="shared" si="6"/>
        <v>1</v>
      </c>
      <c r="P29" s="40">
        <f t="shared" si="6"/>
        <v>1</v>
      </c>
      <c r="Q29" s="40">
        <f t="shared" si="6"/>
        <v>1</v>
      </c>
      <c r="R29" s="40">
        <f t="shared" si="6"/>
        <v>1</v>
      </c>
      <c r="S29" s="40">
        <f t="shared" si="6"/>
        <v>1</v>
      </c>
      <c r="T29" s="40">
        <f t="shared" si="6"/>
        <v>1</v>
      </c>
      <c r="U29" s="40">
        <f t="shared" si="6"/>
        <v>1</v>
      </c>
      <c r="V29" s="40">
        <f t="shared" si="6"/>
        <v>1</v>
      </c>
      <c r="W29" s="40">
        <f t="shared" si="6"/>
        <v>1</v>
      </c>
      <c r="X29" s="40">
        <f t="shared" si="6"/>
        <v>1</v>
      </c>
      <c r="Y29" s="40">
        <f t="shared" si="6"/>
        <v>1</v>
      </c>
      <c r="Z29" s="40">
        <f t="shared" si="6"/>
        <v>1</v>
      </c>
      <c r="AA29" s="40">
        <f t="shared" si="6"/>
        <v>0</v>
      </c>
      <c r="AB29" s="40">
        <f t="shared" si="6"/>
        <v>0</v>
      </c>
      <c r="AC29" s="40">
        <f t="shared" si="6"/>
        <v>0</v>
      </c>
      <c r="AD29" s="40" t="e">
        <f>IF(#REF!=1,1,0)</f>
        <v>#REF!</v>
      </c>
      <c r="AE29" s="40">
        <f t="shared" si="6"/>
        <v>0</v>
      </c>
      <c r="AF29" s="40">
        <f t="shared" si="6"/>
        <v>0</v>
      </c>
      <c r="AG29" s="40">
        <f t="shared" si="6"/>
        <v>1</v>
      </c>
    </row>
    <row r="30" spans="1:33" ht="42" customHeight="1">
      <c r="B30" s="44">
        <v>5</v>
      </c>
      <c r="C30" s="40">
        <f t="shared" si="6"/>
        <v>1</v>
      </c>
      <c r="D30" s="40">
        <f t="shared" si="6"/>
        <v>1</v>
      </c>
      <c r="E30" s="40">
        <f t="shared" si="6"/>
        <v>1</v>
      </c>
      <c r="F30" s="40">
        <f t="shared" si="6"/>
        <v>1</v>
      </c>
      <c r="G30" s="40">
        <f t="shared" si="6"/>
        <v>1</v>
      </c>
      <c r="H30" s="40">
        <f t="shared" si="6"/>
        <v>1</v>
      </c>
      <c r="I30" s="40">
        <f t="shared" si="6"/>
        <v>1</v>
      </c>
      <c r="J30" s="40">
        <f t="shared" si="6"/>
        <v>1</v>
      </c>
      <c r="K30" s="40">
        <f t="shared" si="6"/>
        <v>1</v>
      </c>
      <c r="L30" s="40">
        <f t="shared" si="6"/>
        <v>1</v>
      </c>
      <c r="M30" s="40">
        <f t="shared" si="6"/>
        <v>1</v>
      </c>
      <c r="N30" s="40">
        <f t="shared" si="6"/>
        <v>1</v>
      </c>
      <c r="O30" s="40">
        <f t="shared" si="6"/>
        <v>1</v>
      </c>
      <c r="P30" s="40">
        <f t="shared" si="6"/>
        <v>1</v>
      </c>
      <c r="Q30" s="40">
        <f t="shared" si="6"/>
        <v>1</v>
      </c>
      <c r="R30" s="40">
        <f t="shared" si="6"/>
        <v>1</v>
      </c>
      <c r="S30" s="40">
        <f t="shared" si="6"/>
        <v>1</v>
      </c>
      <c r="T30" s="40">
        <f t="shared" si="6"/>
        <v>1</v>
      </c>
      <c r="U30" s="40">
        <f t="shared" si="6"/>
        <v>1</v>
      </c>
      <c r="V30" s="40">
        <f t="shared" si="6"/>
        <v>1</v>
      </c>
      <c r="W30" s="40">
        <f t="shared" si="6"/>
        <v>1</v>
      </c>
      <c r="X30" s="40">
        <f t="shared" si="6"/>
        <v>1</v>
      </c>
      <c r="Y30" s="40">
        <f t="shared" si="6"/>
        <v>1</v>
      </c>
      <c r="Z30" s="40">
        <f t="shared" si="6"/>
        <v>1</v>
      </c>
      <c r="AA30" s="40">
        <f t="shared" si="6"/>
        <v>1</v>
      </c>
      <c r="AB30" s="40">
        <f t="shared" si="6"/>
        <v>1</v>
      </c>
      <c r="AC30" s="40">
        <f t="shared" si="6"/>
        <v>1</v>
      </c>
      <c r="AD30" s="40">
        <f>IF(AD6=1,1,0)</f>
        <v>0</v>
      </c>
      <c r="AE30" s="40">
        <f t="shared" si="6"/>
        <v>0</v>
      </c>
      <c r="AF30" s="40">
        <f t="shared" si="6"/>
        <v>0</v>
      </c>
      <c r="AG30" s="40">
        <f t="shared" si="6"/>
        <v>1</v>
      </c>
    </row>
    <row r="31" spans="1:33" ht="42" customHeight="1">
      <c r="B31" s="42">
        <v>6</v>
      </c>
      <c r="C31" s="40">
        <f t="shared" si="6"/>
        <v>0</v>
      </c>
      <c r="D31" s="40">
        <f t="shared" si="6"/>
        <v>1</v>
      </c>
      <c r="E31" s="40">
        <f t="shared" si="6"/>
        <v>1</v>
      </c>
      <c r="F31" s="40">
        <f t="shared" si="6"/>
        <v>1</v>
      </c>
      <c r="G31" s="40">
        <f t="shared" si="6"/>
        <v>1</v>
      </c>
      <c r="H31" s="40">
        <f t="shared" si="6"/>
        <v>1</v>
      </c>
      <c r="I31" s="40">
        <f t="shared" si="6"/>
        <v>1</v>
      </c>
      <c r="J31" s="40">
        <f t="shared" si="6"/>
        <v>1</v>
      </c>
      <c r="K31" s="40">
        <f t="shared" si="6"/>
        <v>1</v>
      </c>
      <c r="L31" s="40">
        <f t="shared" si="6"/>
        <v>1</v>
      </c>
      <c r="M31" s="40">
        <f t="shared" si="6"/>
        <v>1</v>
      </c>
      <c r="N31" s="40">
        <f t="shared" si="6"/>
        <v>1</v>
      </c>
      <c r="O31" s="40">
        <f t="shared" si="6"/>
        <v>1</v>
      </c>
      <c r="P31" s="40">
        <f t="shared" si="6"/>
        <v>1</v>
      </c>
      <c r="Q31" s="40">
        <f t="shared" si="6"/>
        <v>1</v>
      </c>
      <c r="R31" s="40">
        <f t="shared" si="6"/>
        <v>1</v>
      </c>
      <c r="S31" s="40">
        <f t="shared" si="6"/>
        <v>1</v>
      </c>
      <c r="T31" s="40">
        <f t="shared" si="6"/>
        <v>1</v>
      </c>
      <c r="U31" s="40">
        <f t="shared" si="6"/>
        <v>1</v>
      </c>
      <c r="V31" s="40">
        <f t="shared" si="6"/>
        <v>1</v>
      </c>
      <c r="W31" s="40">
        <f t="shared" si="6"/>
        <v>0</v>
      </c>
      <c r="X31" s="40">
        <f t="shared" si="6"/>
        <v>0</v>
      </c>
      <c r="Y31" s="40">
        <f t="shared" si="6"/>
        <v>0</v>
      </c>
      <c r="Z31" s="40">
        <f t="shared" si="6"/>
        <v>0</v>
      </c>
      <c r="AA31" s="40">
        <f t="shared" si="6"/>
        <v>0</v>
      </c>
      <c r="AB31" s="40">
        <f t="shared" si="6"/>
        <v>0</v>
      </c>
      <c r="AC31" s="40">
        <f t="shared" si="6"/>
        <v>0</v>
      </c>
      <c r="AD31" s="40">
        <f t="shared" si="6"/>
        <v>1</v>
      </c>
      <c r="AE31" s="40">
        <f t="shared" si="6"/>
        <v>1</v>
      </c>
      <c r="AF31" s="40">
        <f t="shared" si="6"/>
        <v>1</v>
      </c>
      <c r="AG31" s="40">
        <f t="shared" si="6"/>
        <v>0</v>
      </c>
    </row>
    <row r="32" spans="1:33" ht="42" customHeight="1">
      <c r="B32" s="42">
        <v>7</v>
      </c>
      <c r="C32" s="40">
        <f t="shared" si="6"/>
        <v>1</v>
      </c>
      <c r="D32" s="40">
        <f t="shared" si="6"/>
        <v>1</v>
      </c>
      <c r="E32" s="40">
        <f t="shared" si="6"/>
        <v>1</v>
      </c>
      <c r="F32" s="40">
        <f t="shared" si="6"/>
        <v>1</v>
      </c>
      <c r="G32" s="40">
        <f t="shared" si="6"/>
        <v>1</v>
      </c>
      <c r="H32" s="40">
        <f t="shared" si="6"/>
        <v>1</v>
      </c>
      <c r="I32" s="40">
        <f t="shared" si="6"/>
        <v>1</v>
      </c>
      <c r="J32" s="40">
        <f t="shared" si="6"/>
        <v>1</v>
      </c>
      <c r="K32" s="40">
        <f t="shared" si="6"/>
        <v>1</v>
      </c>
      <c r="L32" s="40">
        <f t="shared" si="6"/>
        <v>1</v>
      </c>
      <c r="M32" s="40">
        <f t="shared" si="6"/>
        <v>1</v>
      </c>
      <c r="N32" s="40">
        <f t="shared" si="6"/>
        <v>1</v>
      </c>
      <c r="O32" s="40">
        <f t="shared" si="6"/>
        <v>1</v>
      </c>
      <c r="P32" s="40">
        <f t="shared" si="6"/>
        <v>1</v>
      </c>
      <c r="Q32" s="40">
        <f t="shared" si="6"/>
        <v>1</v>
      </c>
      <c r="R32" s="40">
        <f t="shared" si="6"/>
        <v>1</v>
      </c>
      <c r="S32" s="40">
        <f t="shared" si="6"/>
        <v>1</v>
      </c>
      <c r="T32" s="40">
        <f t="shared" si="6"/>
        <v>1</v>
      </c>
      <c r="U32" s="40">
        <f t="shared" si="6"/>
        <v>1</v>
      </c>
      <c r="V32" s="40">
        <f t="shared" si="6"/>
        <v>1</v>
      </c>
      <c r="W32" s="40">
        <f t="shared" si="6"/>
        <v>1</v>
      </c>
      <c r="X32" s="40">
        <f t="shared" si="6"/>
        <v>1</v>
      </c>
      <c r="Y32" s="40">
        <f t="shared" si="6"/>
        <v>1</v>
      </c>
      <c r="Z32" s="40">
        <f t="shared" si="6"/>
        <v>1</v>
      </c>
      <c r="AA32" s="40">
        <f t="shared" si="6"/>
        <v>1</v>
      </c>
      <c r="AB32" s="40">
        <f t="shared" si="6"/>
        <v>1</v>
      </c>
      <c r="AC32" s="40">
        <f t="shared" si="6"/>
        <v>1</v>
      </c>
      <c r="AD32" s="40">
        <f t="shared" si="6"/>
        <v>0</v>
      </c>
      <c r="AE32" s="40">
        <f t="shared" si="6"/>
        <v>0</v>
      </c>
      <c r="AF32" s="40">
        <f t="shared" si="6"/>
        <v>0</v>
      </c>
      <c r="AG32" s="40">
        <f t="shared" si="6"/>
        <v>1</v>
      </c>
    </row>
    <row r="33" spans="2:33" ht="42" customHeight="1">
      <c r="B33" s="42">
        <v>8</v>
      </c>
      <c r="C33" s="40">
        <f t="shared" si="6"/>
        <v>1</v>
      </c>
      <c r="D33" s="40">
        <f t="shared" si="6"/>
        <v>1</v>
      </c>
      <c r="E33" s="40">
        <f t="shared" si="6"/>
        <v>1</v>
      </c>
      <c r="F33" s="40">
        <f t="shared" si="6"/>
        <v>1</v>
      </c>
      <c r="G33" s="40">
        <f t="shared" si="6"/>
        <v>1</v>
      </c>
      <c r="H33" s="40">
        <f t="shared" si="6"/>
        <v>1</v>
      </c>
      <c r="I33" s="40">
        <f t="shared" si="6"/>
        <v>1</v>
      </c>
      <c r="J33" s="40">
        <f t="shared" si="6"/>
        <v>1</v>
      </c>
      <c r="K33" s="40">
        <f t="shared" si="6"/>
        <v>1</v>
      </c>
      <c r="L33" s="40">
        <f t="shared" si="6"/>
        <v>1</v>
      </c>
      <c r="M33" s="40">
        <f t="shared" si="6"/>
        <v>1</v>
      </c>
      <c r="N33" s="40">
        <f t="shared" si="6"/>
        <v>1</v>
      </c>
      <c r="O33" s="40">
        <f t="shared" si="6"/>
        <v>1</v>
      </c>
      <c r="P33" s="40">
        <f t="shared" si="6"/>
        <v>1</v>
      </c>
      <c r="Q33" s="40">
        <f t="shared" si="6"/>
        <v>1</v>
      </c>
      <c r="R33" s="40">
        <f t="shared" si="6"/>
        <v>1</v>
      </c>
      <c r="S33" s="40">
        <f t="shared" si="6"/>
        <v>1</v>
      </c>
      <c r="T33" s="40">
        <f t="shared" si="6"/>
        <v>1</v>
      </c>
      <c r="U33" s="40">
        <f t="shared" si="6"/>
        <v>1</v>
      </c>
      <c r="V33" s="40">
        <f t="shared" si="6"/>
        <v>1</v>
      </c>
      <c r="W33" s="40">
        <f t="shared" si="6"/>
        <v>1</v>
      </c>
      <c r="X33" s="40">
        <f t="shared" si="6"/>
        <v>1</v>
      </c>
      <c r="Y33" s="40">
        <f t="shared" si="6"/>
        <v>0</v>
      </c>
      <c r="Z33" s="40">
        <f t="shared" si="6"/>
        <v>0</v>
      </c>
      <c r="AA33" s="40">
        <f t="shared" si="6"/>
        <v>0</v>
      </c>
      <c r="AB33" s="40">
        <f t="shared" si="6"/>
        <v>0</v>
      </c>
      <c r="AC33" s="40">
        <f t="shared" si="6"/>
        <v>0</v>
      </c>
      <c r="AD33" s="40">
        <f t="shared" si="6"/>
        <v>0</v>
      </c>
      <c r="AE33" s="40">
        <f t="shared" si="6"/>
        <v>0</v>
      </c>
      <c r="AF33" s="40">
        <f t="shared" si="6"/>
        <v>0</v>
      </c>
      <c r="AG33" s="40">
        <f t="shared" si="6"/>
        <v>0</v>
      </c>
    </row>
    <row r="34" spans="2:33" ht="42" customHeight="1">
      <c r="B34" s="43">
        <v>9</v>
      </c>
      <c r="C34" s="40">
        <f t="shared" si="6"/>
        <v>1</v>
      </c>
      <c r="D34" s="40">
        <f t="shared" si="6"/>
        <v>1</v>
      </c>
      <c r="E34" s="40">
        <f t="shared" si="6"/>
        <v>1</v>
      </c>
      <c r="F34" s="40">
        <f t="shared" si="6"/>
        <v>1</v>
      </c>
      <c r="G34" s="40">
        <f t="shared" si="6"/>
        <v>1</v>
      </c>
      <c r="H34" s="40">
        <f t="shared" si="6"/>
        <v>1</v>
      </c>
      <c r="I34" s="40">
        <f t="shared" si="6"/>
        <v>0</v>
      </c>
      <c r="J34" s="40">
        <f t="shared" ref="J34:AG38" si="7">IF(J11=1,1,0)</f>
        <v>0</v>
      </c>
      <c r="K34" s="40">
        <f t="shared" si="7"/>
        <v>0</v>
      </c>
      <c r="L34" s="40">
        <f t="shared" si="7"/>
        <v>0</v>
      </c>
      <c r="M34" s="40">
        <f t="shared" si="7"/>
        <v>0</v>
      </c>
      <c r="N34" s="40">
        <f t="shared" si="7"/>
        <v>0</v>
      </c>
      <c r="O34" s="40">
        <f t="shared" si="7"/>
        <v>0</v>
      </c>
      <c r="P34" s="40">
        <f t="shared" si="7"/>
        <v>0</v>
      </c>
      <c r="Q34" s="40">
        <f t="shared" si="7"/>
        <v>0</v>
      </c>
      <c r="R34" s="40">
        <f t="shared" si="7"/>
        <v>0</v>
      </c>
      <c r="S34" s="40">
        <f t="shared" si="7"/>
        <v>0</v>
      </c>
      <c r="T34" s="40">
        <f t="shared" si="7"/>
        <v>0</v>
      </c>
      <c r="U34" s="40">
        <f t="shared" si="7"/>
        <v>0</v>
      </c>
      <c r="V34" s="40">
        <f t="shared" si="7"/>
        <v>0</v>
      </c>
      <c r="W34" s="40">
        <f t="shared" si="7"/>
        <v>0</v>
      </c>
      <c r="X34" s="40">
        <f t="shared" si="7"/>
        <v>0</v>
      </c>
      <c r="Y34" s="40">
        <f t="shared" si="7"/>
        <v>0</v>
      </c>
      <c r="Z34" s="40">
        <f t="shared" si="7"/>
        <v>0</v>
      </c>
      <c r="AA34" s="40">
        <f t="shared" si="7"/>
        <v>0</v>
      </c>
      <c r="AB34" s="40">
        <f t="shared" si="7"/>
        <v>0</v>
      </c>
      <c r="AC34" s="40">
        <f t="shared" si="7"/>
        <v>0</v>
      </c>
      <c r="AD34" s="40">
        <f t="shared" si="7"/>
        <v>0</v>
      </c>
      <c r="AE34" s="40">
        <f t="shared" si="7"/>
        <v>0</v>
      </c>
      <c r="AF34" s="40">
        <f t="shared" si="7"/>
        <v>0</v>
      </c>
      <c r="AG34" s="40">
        <f t="shared" si="7"/>
        <v>0</v>
      </c>
    </row>
    <row r="35" spans="2:33" ht="42" customHeight="1">
      <c r="B35" s="44">
        <v>10</v>
      </c>
      <c r="C35" s="40">
        <f t="shared" ref="C35:AF38" si="8">IF(C12=1,1,0)</f>
        <v>1</v>
      </c>
      <c r="D35" s="40">
        <f t="shared" si="8"/>
        <v>1</v>
      </c>
      <c r="E35" s="40">
        <f t="shared" si="8"/>
        <v>1</v>
      </c>
      <c r="F35" s="40">
        <f t="shared" si="8"/>
        <v>1</v>
      </c>
      <c r="G35" s="40">
        <f t="shared" si="8"/>
        <v>1</v>
      </c>
      <c r="H35" s="40">
        <f t="shared" si="8"/>
        <v>1</v>
      </c>
      <c r="I35" s="40">
        <f t="shared" si="8"/>
        <v>1</v>
      </c>
      <c r="J35" s="40">
        <f t="shared" si="8"/>
        <v>1</v>
      </c>
      <c r="K35" s="40">
        <f t="shared" si="8"/>
        <v>1</v>
      </c>
      <c r="L35" s="40">
        <f t="shared" si="8"/>
        <v>1</v>
      </c>
      <c r="M35" s="40">
        <f t="shared" si="8"/>
        <v>1</v>
      </c>
      <c r="N35" s="40">
        <f t="shared" si="8"/>
        <v>1</v>
      </c>
      <c r="O35" s="40">
        <f t="shared" si="8"/>
        <v>1</v>
      </c>
      <c r="P35" s="40">
        <f t="shared" si="8"/>
        <v>1</v>
      </c>
      <c r="Q35" s="40">
        <f t="shared" si="8"/>
        <v>1</v>
      </c>
      <c r="R35" s="40">
        <f t="shared" si="8"/>
        <v>1</v>
      </c>
      <c r="S35" s="40">
        <f t="shared" si="8"/>
        <v>1</v>
      </c>
      <c r="T35" s="40">
        <f t="shared" si="8"/>
        <v>1</v>
      </c>
      <c r="U35" s="40">
        <f t="shared" si="8"/>
        <v>1</v>
      </c>
      <c r="V35" s="40">
        <f t="shared" si="8"/>
        <v>1</v>
      </c>
      <c r="W35" s="40">
        <f t="shared" si="8"/>
        <v>1</v>
      </c>
      <c r="X35" s="40">
        <f t="shared" si="8"/>
        <v>1</v>
      </c>
      <c r="Y35" s="40">
        <f t="shared" si="8"/>
        <v>1</v>
      </c>
      <c r="Z35" s="40">
        <f t="shared" si="8"/>
        <v>1</v>
      </c>
      <c r="AA35" s="40">
        <f t="shared" si="8"/>
        <v>1</v>
      </c>
      <c r="AB35" s="40">
        <f t="shared" si="8"/>
        <v>1</v>
      </c>
      <c r="AC35" s="40">
        <f t="shared" si="8"/>
        <v>1</v>
      </c>
      <c r="AD35" s="40">
        <f t="shared" si="8"/>
        <v>1</v>
      </c>
      <c r="AE35" s="40">
        <f t="shared" si="8"/>
        <v>1</v>
      </c>
      <c r="AF35" s="40">
        <f t="shared" si="8"/>
        <v>1</v>
      </c>
      <c r="AG35" s="40">
        <f t="shared" si="7"/>
        <v>1</v>
      </c>
    </row>
    <row r="36" spans="2:33" ht="42" customHeight="1">
      <c r="B36" s="44">
        <v>11</v>
      </c>
      <c r="C36" s="40">
        <f t="shared" si="8"/>
        <v>1</v>
      </c>
      <c r="D36" s="40">
        <f t="shared" si="8"/>
        <v>1</v>
      </c>
      <c r="E36" s="40">
        <f t="shared" si="8"/>
        <v>1</v>
      </c>
      <c r="F36" s="40">
        <f t="shared" si="8"/>
        <v>1</v>
      </c>
      <c r="G36" s="40">
        <f t="shared" si="8"/>
        <v>1</v>
      </c>
      <c r="H36" s="40">
        <f t="shared" si="8"/>
        <v>1</v>
      </c>
      <c r="I36" s="40">
        <f t="shared" si="8"/>
        <v>1</v>
      </c>
      <c r="J36" s="40">
        <f t="shared" si="8"/>
        <v>1</v>
      </c>
      <c r="K36" s="40">
        <f t="shared" si="8"/>
        <v>1</v>
      </c>
      <c r="L36" s="40">
        <f t="shared" si="8"/>
        <v>1</v>
      </c>
      <c r="M36" s="40">
        <f t="shared" si="8"/>
        <v>1</v>
      </c>
      <c r="N36" s="40">
        <f t="shared" si="8"/>
        <v>1</v>
      </c>
      <c r="O36" s="40">
        <f t="shared" si="8"/>
        <v>1</v>
      </c>
      <c r="P36" s="40">
        <f t="shared" si="8"/>
        <v>1</v>
      </c>
      <c r="Q36" s="40">
        <f t="shared" si="8"/>
        <v>1</v>
      </c>
      <c r="R36" s="40">
        <f t="shared" si="8"/>
        <v>1</v>
      </c>
      <c r="S36" s="40">
        <f t="shared" si="8"/>
        <v>1</v>
      </c>
      <c r="T36" s="40">
        <f t="shared" si="8"/>
        <v>1</v>
      </c>
      <c r="U36" s="40">
        <f t="shared" si="8"/>
        <v>1</v>
      </c>
      <c r="V36" s="40">
        <f t="shared" si="8"/>
        <v>1</v>
      </c>
      <c r="W36" s="40">
        <f t="shared" si="8"/>
        <v>1</v>
      </c>
      <c r="X36" s="40">
        <f t="shared" si="8"/>
        <v>1</v>
      </c>
      <c r="Y36" s="40">
        <f t="shared" si="8"/>
        <v>1</v>
      </c>
      <c r="Z36" s="40">
        <f t="shared" si="8"/>
        <v>0</v>
      </c>
      <c r="AA36" s="40">
        <f t="shared" si="8"/>
        <v>0</v>
      </c>
      <c r="AB36" s="40">
        <f t="shared" si="8"/>
        <v>0</v>
      </c>
      <c r="AC36" s="40">
        <f t="shared" si="8"/>
        <v>0</v>
      </c>
      <c r="AD36" s="40">
        <f t="shared" si="8"/>
        <v>0</v>
      </c>
      <c r="AE36" s="40">
        <f t="shared" si="8"/>
        <v>0</v>
      </c>
      <c r="AF36" s="40">
        <f t="shared" si="8"/>
        <v>0</v>
      </c>
      <c r="AG36" s="40">
        <f t="shared" si="7"/>
        <v>0</v>
      </c>
    </row>
    <row r="37" spans="2:33" ht="42" customHeight="1">
      <c r="B37" s="42">
        <v>12</v>
      </c>
      <c r="C37" s="40">
        <f t="shared" si="8"/>
        <v>1</v>
      </c>
      <c r="D37" s="40">
        <f t="shared" si="8"/>
        <v>1</v>
      </c>
      <c r="E37" s="40">
        <f t="shared" si="8"/>
        <v>1</v>
      </c>
      <c r="F37" s="40">
        <f t="shared" si="8"/>
        <v>1</v>
      </c>
      <c r="G37" s="40">
        <f t="shared" si="8"/>
        <v>1</v>
      </c>
      <c r="H37" s="40">
        <f t="shared" si="8"/>
        <v>1</v>
      </c>
      <c r="I37" s="40">
        <f t="shared" si="8"/>
        <v>1</v>
      </c>
      <c r="J37" s="40">
        <f t="shared" si="8"/>
        <v>1</v>
      </c>
      <c r="K37" s="40">
        <f t="shared" si="8"/>
        <v>1</v>
      </c>
      <c r="L37" s="40">
        <f t="shared" si="8"/>
        <v>1</v>
      </c>
      <c r="M37" s="40">
        <f t="shared" si="8"/>
        <v>1</v>
      </c>
      <c r="N37" s="40">
        <f t="shared" si="8"/>
        <v>1</v>
      </c>
      <c r="O37" s="40">
        <f t="shared" si="8"/>
        <v>1</v>
      </c>
      <c r="P37" s="40">
        <f t="shared" si="8"/>
        <v>1</v>
      </c>
      <c r="Q37" s="40">
        <f t="shared" si="8"/>
        <v>1</v>
      </c>
      <c r="R37" s="40">
        <f t="shared" si="8"/>
        <v>1</v>
      </c>
      <c r="S37" s="40">
        <f t="shared" si="8"/>
        <v>1</v>
      </c>
      <c r="T37" s="40">
        <f t="shared" si="8"/>
        <v>1</v>
      </c>
      <c r="U37" s="40">
        <f t="shared" si="8"/>
        <v>1</v>
      </c>
      <c r="V37" s="40">
        <f t="shared" si="8"/>
        <v>1</v>
      </c>
      <c r="W37" s="40">
        <f t="shared" si="8"/>
        <v>1</v>
      </c>
      <c r="X37" s="40">
        <f t="shared" si="8"/>
        <v>1</v>
      </c>
      <c r="Y37" s="40">
        <f t="shared" si="8"/>
        <v>1</v>
      </c>
      <c r="Z37" s="40">
        <f t="shared" si="8"/>
        <v>1</v>
      </c>
      <c r="AA37" s="40">
        <f t="shared" si="8"/>
        <v>1</v>
      </c>
      <c r="AB37" s="40">
        <f t="shared" si="8"/>
        <v>1</v>
      </c>
      <c r="AC37" s="40">
        <f t="shared" si="8"/>
        <v>1</v>
      </c>
      <c r="AD37" s="40">
        <f t="shared" si="8"/>
        <v>1</v>
      </c>
      <c r="AE37" s="40">
        <f t="shared" si="8"/>
        <v>1</v>
      </c>
      <c r="AF37" s="40">
        <f t="shared" si="8"/>
        <v>0</v>
      </c>
      <c r="AG37" s="40">
        <f t="shared" si="7"/>
        <v>0</v>
      </c>
    </row>
    <row r="38" spans="2:33" ht="42" customHeight="1">
      <c r="B38" s="45" t="s">
        <v>111</v>
      </c>
      <c r="C38" s="40">
        <f t="shared" si="8"/>
        <v>1</v>
      </c>
      <c r="D38" s="40">
        <f t="shared" si="8"/>
        <v>1</v>
      </c>
      <c r="E38" s="40">
        <f t="shared" si="8"/>
        <v>1</v>
      </c>
      <c r="F38" s="40">
        <f t="shared" si="8"/>
        <v>1</v>
      </c>
      <c r="G38" s="40">
        <f t="shared" si="8"/>
        <v>1</v>
      </c>
      <c r="H38" s="40">
        <f t="shared" si="8"/>
        <v>1</v>
      </c>
      <c r="I38" s="40">
        <f t="shared" si="8"/>
        <v>1</v>
      </c>
      <c r="J38" s="40">
        <f t="shared" si="8"/>
        <v>1</v>
      </c>
      <c r="K38" s="40">
        <f t="shared" si="8"/>
        <v>1</v>
      </c>
      <c r="L38" s="40">
        <f t="shared" si="8"/>
        <v>1</v>
      </c>
      <c r="M38" s="40">
        <f t="shared" si="8"/>
        <v>1</v>
      </c>
      <c r="N38" s="40">
        <f t="shared" si="8"/>
        <v>1</v>
      </c>
      <c r="O38" s="40">
        <f t="shared" si="8"/>
        <v>1</v>
      </c>
      <c r="P38" s="40">
        <f t="shared" si="8"/>
        <v>1</v>
      </c>
      <c r="Q38" s="40">
        <f t="shared" si="8"/>
        <v>1</v>
      </c>
      <c r="R38" s="40">
        <f t="shared" si="8"/>
        <v>1</v>
      </c>
      <c r="S38" s="40">
        <f t="shared" si="8"/>
        <v>1</v>
      </c>
      <c r="T38" s="40">
        <f t="shared" si="8"/>
        <v>0</v>
      </c>
      <c r="U38" s="40">
        <f t="shared" si="8"/>
        <v>0</v>
      </c>
      <c r="V38" s="40">
        <f t="shared" si="8"/>
        <v>0</v>
      </c>
      <c r="W38" s="40">
        <f t="shared" si="8"/>
        <v>1</v>
      </c>
      <c r="X38" s="40">
        <f t="shared" si="8"/>
        <v>1</v>
      </c>
      <c r="Y38" s="40">
        <f t="shared" si="8"/>
        <v>1</v>
      </c>
      <c r="Z38" s="40">
        <f t="shared" si="8"/>
        <v>1</v>
      </c>
      <c r="AA38" s="40">
        <f t="shared" si="8"/>
        <v>1</v>
      </c>
      <c r="AB38" s="40">
        <f t="shared" si="8"/>
        <v>1</v>
      </c>
      <c r="AC38" s="40">
        <f t="shared" si="8"/>
        <v>1</v>
      </c>
      <c r="AD38" s="40">
        <f t="shared" si="8"/>
        <v>1</v>
      </c>
      <c r="AE38" s="40">
        <f t="shared" si="8"/>
        <v>1</v>
      </c>
      <c r="AF38" s="40">
        <f t="shared" si="8"/>
        <v>0</v>
      </c>
      <c r="AG38" s="40">
        <f t="shared" si="7"/>
        <v>0</v>
      </c>
    </row>
  </sheetData>
  <mergeCells count="14">
    <mergeCell ref="T15:V15"/>
    <mergeCell ref="AF14:AG14"/>
    <mergeCell ref="W8:AC8"/>
    <mergeCell ref="G6:I6"/>
    <mergeCell ref="AC5:AE5"/>
    <mergeCell ref="Z13:AG13"/>
    <mergeCell ref="X11:AG11"/>
    <mergeCell ref="I11:T11"/>
    <mergeCell ref="AD9:AF10"/>
    <mergeCell ref="AD6:AF7"/>
    <mergeCell ref="AF15:AG15"/>
    <mergeCell ref="AF5:AG5"/>
    <mergeCell ref="R5:U5"/>
    <mergeCell ref="Y5:AB5"/>
  </mergeCells>
  <conditionalFormatting sqref="C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B649-2384-4692-A65A-FA40545CA2AE}">
  <sheetPr>
    <tabColor theme="4" tint="0.59999389629810485"/>
  </sheetPr>
  <dimension ref="A1:AF38"/>
  <sheetViews>
    <sheetView zoomScale="40" zoomScaleNormal="40" workbookViewId="0">
      <pane xSplit="2" ySplit="2" topLeftCell="F3" activePane="bottomRight" state="frozen"/>
      <selection pane="bottomRight" activeCell="AI7" sqref="AI7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2" width="15.28515625" style="26" customWidth="1"/>
    <col min="33" max="16384" width="8.7109375" style="26"/>
  </cols>
  <sheetData>
    <row r="1" spans="1:32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</row>
    <row r="2" spans="1:32" ht="27.75" customHeight="1">
      <c r="A2" s="27"/>
      <c r="B2" s="27"/>
      <c r="C2" s="31" t="s">
        <v>3</v>
      </c>
      <c r="D2" s="28" t="s">
        <v>4</v>
      </c>
      <c r="E2" s="28" t="s">
        <v>5</v>
      </c>
      <c r="F2" s="29" t="s">
        <v>6</v>
      </c>
      <c r="G2" s="28" t="s">
        <v>7</v>
      </c>
      <c r="H2" s="28" t="s">
        <v>8</v>
      </c>
      <c r="I2" s="30" t="s">
        <v>2</v>
      </c>
      <c r="J2" s="31" t="s">
        <v>3</v>
      </c>
      <c r="K2" s="28" t="s">
        <v>4</v>
      </c>
      <c r="L2" s="28" t="s">
        <v>5</v>
      </c>
      <c r="M2" s="29" t="s">
        <v>6</v>
      </c>
      <c r="N2" s="28" t="s">
        <v>7</v>
      </c>
      <c r="O2" s="28" t="s">
        <v>8</v>
      </c>
      <c r="P2" s="30" t="s">
        <v>2</v>
      </c>
      <c r="Q2" s="31" t="s">
        <v>3</v>
      </c>
      <c r="R2" s="28" t="s">
        <v>4</v>
      </c>
      <c r="S2" s="28" t="s">
        <v>5</v>
      </c>
      <c r="T2" s="29" t="s">
        <v>6</v>
      </c>
      <c r="U2" s="28" t="s">
        <v>7</v>
      </c>
      <c r="V2" s="28" t="s">
        <v>8</v>
      </c>
      <c r="W2" s="30" t="s">
        <v>2</v>
      </c>
      <c r="X2" s="31" t="s">
        <v>3</v>
      </c>
      <c r="Y2" s="28" t="s">
        <v>4</v>
      </c>
      <c r="Z2" s="28" t="s">
        <v>5</v>
      </c>
      <c r="AA2" s="29" t="s">
        <v>6</v>
      </c>
      <c r="AB2" s="28" t="s">
        <v>7</v>
      </c>
      <c r="AC2" s="28" t="s">
        <v>8</v>
      </c>
      <c r="AD2" s="30" t="s">
        <v>2</v>
      </c>
      <c r="AE2" s="31" t="s">
        <v>3</v>
      </c>
      <c r="AF2" s="28" t="s">
        <v>4</v>
      </c>
    </row>
    <row r="3" spans="1:32" ht="85.5" customHeight="1">
      <c r="A3" s="32">
        <v>1</v>
      </c>
      <c r="B3" s="33" t="s">
        <v>9</v>
      </c>
      <c r="C3" s="370" t="s">
        <v>738</v>
      </c>
      <c r="D3" s="246"/>
      <c r="E3" s="246"/>
      <c r="F3" s="246"/>
      <c r="G3" s="371"/>
      <c r="H3" s="23">
        <v>1</v>
      </c>
      <c r="I3" s="385" t="s">
        <v>739</v>
      </c>
      <c r="J3" s="283"/>
      <c r="K3" s="283"/>
      <c r="L3" s="283"/>
      <c r="M3" s="287"/>
      <c r="N3" s="344" t="s">
        <v>740</v>
      </c>
      <c r="O3" s="345"/>
      <c r="P3" s="345"/>
      <c r="Q3" s="660"/>
      <c r="R3" s="23">
        <v>1</v>
      </c>
      <c r="S3" s="23">
        <v>1</v>
      </c>
      <c r="T3" s="23">
        <v>1</v>
      </c>
      <c r="U3" s="23">
        <v>1</v>
      </c>
      <c r="V3" s="215" t="s">
        <v>741</v>
      </c>
      <c r="W3" s="279"/>
      <c r="X3" s="279"/>
      <c r="Y3" s="279"/>
      <c r="Z3" s="279"/>
      <c r="AA3" s="279"/>
      <c r="AB3" s="225"/>
      <c r="AC3" s="657" t="s">
        <v>742</v>
      </c>
      <c r="AD3" s="658"/>
      <c r="AE3" s="658"/>
      <c r="AF3" s="659"/>
    </row>
    <row r="4" spans="1:32" ht="85.5" customHeight="1">
      <c r="A4" s="34">
        <v>2</v>
      </c>
      <c r="B4" s="33" t="s">
        <v>9</v>
      </c>
      <c r="C4" s="254"/>
      <c r="D4" s="255"/>
      <c r="E4" s="255"/>
      <c r="F4" s="255"/>
      <c r="G4" s="298"/>
      <c r="H4" s="215" t="s">
        <v>743</v>
      </c>
      <c r="I4" s="279"/>
      <c r="J4" s="279"/>
      <c r="K4" s="225"/>
      <c r="L4" s="23">
        <v>1</v>
      </c>
      <c r="M4" s="23">
        <v>1</v>
      </c>
      <c r="N4" s="23">
        <v>1</v>
      </c>
      <c r="O4" s="23">
        <v>1</v>
      </c>
      <c r="P4" s="344" t="s">
        <v>744</v>
      </c>
      <c r="Q4" s="345"/>
      <c r="R4" s="345"/>
      <c r="S4" s="660"/>
      <c r="T4" s="215" t="s">
        <v>745</v>
      </c>
      <c r="U4" s="279"/>
      <c r="V4" s="225"/>
      <c r="W4" s="23">
        <v>1</v>
      </c>
      <c r="X4" s="215" t="s">
        <v>746</v>
      </c>
      <c r="Y4" s="216"/>
      <c r="Z4" s="216"/>
      <c r="AA4" s="217"/>
      <c r="AB4" s="46">
        <v>1</v>
      </c>
      <c r="AC4" s="46">
        <v>1</v>
      </c>
      <c r="AD4" s="23">
        <v>1</v>
      </c>
      <c r="AE4" s="215" t="s">
        <v>747</v>
      </c>
      <c r="AF4" s="225"/>
    </row>
    <row r="5" spans="1:32" ht="108" customHeight="1">
      <c r="A5" s="34">
        <v>3</v>
      </c>
      <c r="B5" s="33" t="s">
        <v>29</v>
      </c>
      <c r="C5" s="213" t="s">
        <v>748</v>
      </c>
      <c r="D5" s="227"/>
      <c r="E5" s="23">
        <v>1</v>
      </c>
      <c r="F5" s="23">
        <v>1</v>
      </c>
      <c r="G5" s="215" t="s">
        <v>749</v>
      </c>
      <c r="H5" s="279"/>
      <c r="I5" s="225"/>
      <c r="J5" s="215" t="s">
        <v>750</v>
      </c>
      <c r="K5" s="279"/>
      <c r="L5" s="279"/>
      <c r="M5" s="279"/>
      <c r="N5" s="279"/>
      <c r="O5" s="225"/>
      <c r="P5" s="215" t="s">
        <v>751</v>
      </c>
      <c r="Q5" s="279"/>
      <c r="R5" s="279"/>
      <c r="S5" s="279"/>
      <c r="T5" s="279"/>
      <c r="U5" s="225"/>
      <c r="V5" s="23">
        <v>1</v>
      </c>
      <c r="W5" s="23">
        <v>1</v>
      </c>
      <c r="X5" s="210" t="s">
        <v>752</v>
      </c>
      <c r="Y5" s="563"/>
      <c r="Z5" s="563"/>
      <c r="AA5" s="575"/>
      <c r="AB5" s="84"/>
      <c r="AC5" s="84"/>
      <c r="AD5" s="84"/>
      <c r="AE5" s="84"/>
      <c r="AF5" s="182" t="s">
        <v>753</v>
      </c>
    </row>
    <row r="6" spans="1:32" ht="108" customHeight="1">
      <c r="A6" s="34">
        <v>4</v>
      </c>
      <c r="B6" s="33" t="s">
        <v>37</v>
      </c>
      <c r="C6" s="215" t="s">
        <v>754</v>
      </c>
      <c r="D6" s="279"/>
      <c r="E6" s="279"/>
      <c r="F6" s="279"/>
      <c r="G6" s="225"/>
      <c r="H6" s="215" t="s">
        <v>755</v>
      </c>
      <c r="I6" s="279"/>
      <c r="J6" s="225"/>
      <c r="K6" s="23">
        <v>1</v>
      </c>
      <c r="L6" s="23">
        <v>1</v>
      </c>
      <c r="M6" s="23">
        <v>1</v>
      </c>
      <c r="N6" s="281" t="s">
        <v>756</v>
      </c>
      <c r="O6" s="282"/>
      <c r="P6" s="297"/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15" t="s">
        <v>757</v>
      </c>
      <c r="W6" s="279"/>
      <c r="X6" s="279"/>
      <c r="Y6" s="255"/>
      <c r="Z6" s="255"/>
      <c r="AA6" s="255"/>
      <c r="AB6" s="298"/>
      <c r="AC6" s="47">
        <v>1</v>
      </c>
      <c r="AD6" s="23">
        <v>1</v>
      </c>
      <c r="AE6" s="23">
        <v>1</v>
      </c>
      <c r="AF6" s="23">
        <v>1</v>
      </c>
    </row>
    <row r="7" spans="1:32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546" t="s">
        <v>758</v>
      </c>
      <c r="I7" s="547"/>
      <c r="J7" s="547"/>
      <c r="K7" s="547"/>
      <c r="L7" s="547"/>
      <c r="M7" s="548"/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15" t="s">
        <v>759</v>
      </c>
      <c r="Y7" s="279"/>
      <c r="Z7" s="225"/>
      <c r="AA7" s="215" t="s">
        <v>760</v>
      </c>
      <c r="AB7" s="279"/>
      <c r="AC7" s="225"/>
      <c r="AD7" s="23">
        <v>1</v>
      </c>
      <c r="AE7" s="23">
        <v>1</v>
      </c>
      <c r="AF7" s="23">
        <v>1</v>
      </c>
    </row>
    <row r="8" spans="1:32" ht="103.35" customHeight="1">
      <c r="A8" s="34">
        <v>6</v>
      </c>
      <c r="B8" s="33" t="s">
        <v>9</v>
      </c>
      <c r="C8" s="281" t="s">
        <v>730</v>
      </c>
      <c r="D8" s="297"/>
      <c r="E8" s="23">
        <v>1</v>
      </c>
      <c r="F8" s="23">
        <v>1</v>
      </c>
      <c r="G8" s="23">
        <v>1</v>
      </c>
      <c r="H8" s="215" t="s">
        <v>761</v>
      </c>
      <c r="I8" s="279"/>
      <c r="J8" s="225"/>
      <c r="K8" s="213" t="s">
        <v>762</v>
      </c>
      <c r="L8" s="214"/>
      <c r="M8" s="227"/>
      <c r="N8" s="23">
        <v>1</v>
      </c>
      <c r="O8" s="215" t="s">
        <v>763</v>
      </c>
      <c r="P8" s="279"/>
      <c r="Q8" s="225"/>
      <c r="R8" s="23">
        <v>1</v>
      </c>
      <c r="S8" s="23">
        <v>1</v>
      </c>
      <c r="T8" s="23">
        <v>1</v>
      </c>
      <c r="U8" s="23">
        <v>1</v>
      </c>
      <c r="V8" s="215" t="s">
        <v>764</v>
      </c>
      <c r="W8" s="279"/>
      <c r="X8" s="279"/>
      <c r="Y8" s="279"/>
      <c r="Z8" s="279"/>
      <c r="AA8" s="279"/>
      <c r="AB8" s="225"/>
      <c r="AC8" s="215" t="s">
        <v>765</v>
      </c>
      <c r="AD8" s="279"/>
      <c r="AE8" s="225"/>
      <c r="AF8" s="194" t="s">
        <v>766</v>
      </c>
    </row>
    <row r="9" spans="1:32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3">
        <v>1</v>
      </c>
      <c r="G9" s="215" t="s">
        <v>767</v>
      </c>
      <c r="H9" s="279"/>
      <c r="I9" s="225"/>
      <c r="J9" s="23">
        <v>1</v>
      </c>
      <c r="K9" s="23">
        <v>1</v>
      </c>
      <c r="L9" s="23">
        <v>1</v>
      </c>
      <c r="M9" s="281" t="s">
        <v>768</v>
      </c>
      <c r="N9" s="282"/>
      <c r="O9" s="297"/>
      <c r="P9" s="344" t="s">
        <v>769</v>
      </c>
      <c r="Q9" s="345"/>
      <c r="R9" s="345"/>
      <c r="S9" s="345"/>
      <c r="T9" s="345"/>
      <c r="U9" s="345"/>
      <c r="V9" s="345"/>
      <c r="W9" s="660"/>
      <c r="X9" s="215" t="s">
        <v>770</v>
      </c>
      <c r="Y9" s="279"/>
      <c r="Z9" s="225"/>
      <c r="AA9" s="228" t="s">
        <v>771</v>
      </c>
      <c r="AB9" s="648"/>
      <c r="AC9" s="648"/>
      <c r="AD9" s="649"/>
      <c r="AE9" s="46">
        <v>1</v>
      </c>
      <c r="AF9" s="46">
        <v>1</v>
      </c>
    </row>
    <row r="10" spans="1:32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617" t="s">
        <v>772</v>
      </c>
      <c r="I10" s="618"/>
      <c r="J10" s="619"/>
      <c r="K10" s="23">
        <v>1</v>
      </c>
      <c r="L10" s="23">
        <v>1</v>
      </c>
      <c r="M10" s="215" t="s">
        <v>773</v>
      </c>
      <c r="N10" s="279"/>
      <c r="O10" s="225"/>
      <c r="P10" s="213" t="s">
        <v>774</v>
      </c>
      <c r="Q10" s="214"/>
      <c r="R10" s="227"/>
      <c r="S10" s="23">
        <v>1</v>
      </c>
      <c r="T10" s="23">
        <v>1</v>
      </c>
      <c r="U10" s="215" t="s">
        <v>775</v>
      </c>
      <c r="V10" s="279"/>
      <c r="W10" s="225"/>
      <c r="X10" s="23">
        <v>1</v>
      </c>
      <c r="Y10" s="661" t="s">
        <v>776</v>
      </c>
      <c r="Z10" s="662"/>
      <c r="AA10" s="161"/>
      <c r="AB10" s="257" t="s">
        <v>777</v>
      </c>
      <c r="AC10" s="257"/>
      <c r="AD10" s="257"/>
      <c r="AE10" s="257"/>
      <c r="AF10" s="257"/>
    </row>
    <row r="11" spans="1:32" ht="85.5" customHeight="1">
      <c r="A11" s="34">
        <v>9</v>
      </c>
      <c r="B11" s="35" t="s">
        <v>29</v>
      </c>
      <c r="C11" s="215" t="s">
        <v>778</v>
      </c>
      <c r="D11" s="279"/>
      <c r="E11" s="279"/>
      <c r="F11" s="279"/>
      <c r="G11" s="225"/>
      <c r="H11" s="23">
        <v>1</v>
      </c>
      <c r="I11" s="23">
        <v>1</v>
      </c>
      <c r="J11" s="23">
        <v>1</v>
      </c>
      <c r="K11" s="213" t="s">
        <v>779</v>
      </c>
      <c r="L11" s="618"/>
      <c r="M11" s="619"/>
      <c r="N11" s="23">
        <v>1</v>
      </c>
      <c r="O11" s="23">
        <v>1</v>
      </c>
      <c r="P11" s="23">
        <v>1</v>
      </c>
      <c r="Q11" s="23">
        <v>1</v>
      </c>
      <c r="R11" s="23">
        <v>1</v>
      </c>
      <c r="S11" s="23">
        <v>1</v>
      </c>
      <c r="T11" s="215" t="s">
        <v>780</v>
      </c>
      <c r="U11" s="279"/>
      <c r="V11" s="279"/>
      <c r="W11" s="279"/>
      <c r="X11" s="225"/>
      <c r="Y11" s="200" t="s">
        <v>781</v>
      </c>
      <c r="Z11" s="278"/>
      <c r="AA11" s="278"/>
      <c r="AB11" s="560"/>
      <c r="AC11" s="560"/>
      <c r="AD11" s="200" t="s">
        <v>782</v>
      </c>
      <c r="AE11" s="278"/>
      <c r="AF11" s="278"/>
    </row>
    <row r="12" spans="1:32" ht="85.5" customHeight="1">
      <c r="A12" s="34">
        <v>10</v>
      </c>
      <c r="B12" s="33" t="s">
        <v>37</v>
      </c>
      <c r="C12" s="23">
        <v>1</v>
      </c>
      <c r="D12" s="23">
        <v>1</v>
      </c>
      <c r="E12" s="281" t="s">
        <v>783</v>
      </c>
      <c r="F12" s="282"/>
      <c r="G12" s="282"/>
      <c r="H12" s="297"/>
      <c r="I12" s="281" t="s">
        <v>784</v>
      </c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97"/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  <c r="AE12" s="23">
        <v>1</v>
      </c>
      <c r="AF12" s="23">
        <v>1</v>
      </c>
    </row>
    <row r="13" spans="1:32" ht="85.5" customHeight="1">
      <c r="A13" s="34">
        <v>11</v>
      </c>
      <c r="B13" s="33" t="s">
        <v>37</v>
      </c>
      <c r="C13" s="213" t="s">
        <v>734</v>
      </c>
      <c r="D13" s="214"/>
      <c r="E13" s="214"/>
      <c r="F13" s="214"/>
      <c r="G13" s="214"/>
      <c r="H13" s="227"/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15" t="s">
        <v>785</v>
      </c>
      <c r="R13" s="279"/>
      <c r="S13" s="279"/>
      <c r="T13" s="279"/>
      <c r="U13" s="279"/>
      <c r="V13" s="225"/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  <c r="AE13" s="23">
        <v>1</v>
      </c>
      <c r="AF13" s="23">
        <v>1</v>
      </c>
    </row>
    <row r="14" spans="1:32" ht="85.5" customHeight="1">
      <c r="A14" s="34">
        <v>12</v>
      </c>
      <c r="B14" s="33" t="s">
        <v>9</v>
      </c>
      <c r="C14" s="281" t="s">
        <v>786</v>
      </c>
      <c r="D14" s="282"/>
      <c r="E14" s="282"/>
      <c r="F14" s="297"/>
      <c r="G14" s="215" t="s">
        <v>767</v>
      </c>
      <c r="H14" s="279"/>
      <c r="I14" s="225"/>
      <c r="J14" s="215" t="s">
        <v>739</v>
      </c>
      <c r="K14" s="279"/>
      <c r="L14" s="279"/>
      <c r="M14" s="225"/>
      <c r="N14" s="23">
        <v>1</v>
      </c>
      <c r="O14" s="23">
        <v>1</v>
      </c>
      <c r="P14" s="23">
        <v>1</v>
      </c>
      <c r="Q14" s="215" t="s">
        <v>787</v>
      </c>
      <c r="R14" s="279"/>
      <c r="S14" s="279"/>
      <c r="T14" s="279"/>
      <c r="U14" s="279"/>
      <c r="V14" s="279"/>
      <c r="W14" s="225"/>
      <c r="X14" s="281" t="s">
        <v>788</v>
      </c>
      <c r="Y14" s="282"/>
      <c r="Z14" s="282"/>
      <c r="AA14" s="282"/>
      <c r="AB14" s="297"/>
      <c r="AC14" s="23">
        <v>1</v>
      </c>
      <c r="AD14" s="23">
        <v>1</v>
      </c>
      <c r="AE14" s="23">
        <v>1</v>
      </c>
      <c r="AF14" s="157" t="s">
        <v>789</v>
      </c>
    </row>
    <row r="15" spans="1:32" ht="85.5" customHeight="1">
      <c r="A15" s="34" t="s">
        <v>111</v>
      </c>
      <c r="B15" s="33" t="s">
        <v>112</v>
      </c>
      <c r="C15" s="546" t="s">
        <v>748</v>
      </c>
      <c r="D15" s="548"/>
      <c r="E15" s="23">
        <v>1</v>
      </c>
      <c r="F15" s="23">
        <v>1</v>
      </c>
      <c r="G15" s="215" t="s">
        <v>790</v>
      </c>
      <c r="H15" s="279"/>
      <c r="I15" s="279"/>
      <c r="J15" s="279"/>
      <c r="K15" s="225"/>
      <c r="L15" s="23">
        <v>1</v>
      </c>
      <c r="M15" s="23">
        <v>1</v>
      </c>
      <c r="N15" s="23">
        <v>1</v>
      </c>
      <c r="O15" s="23">
        <v>1</v>
      </c>
      <c r="P15" s="215" t="s">
        <v>791</v>
      </c>
      <c r="Q15" s="279"/>
      <c r="R15" s="279"/>
      <c r="S15" s="225"/>
      <c r="T15" s="215" t="s">
        <v>792</v>
      </c>
      <c r="U15" s="279"/>
      <c r="V15" s="279"/>
      <c r="W15" s="225"/>
      <c r="X15" s="23">
        <v>1</v>
      </c>
      <c r="Y15" s="215" t="s">
        <v>793</v>
      </c>
      <c r="Z15" s="279"/>
      <c r="AA15" s="279"/>
      <c r="AB15" s="225"/>
      <c r="AC15" s="23">
        <v>1</v>
      </c>
      <c r="AD15" s="23">
        <v>1</v>
      </c>
      <c r="AE15" s="65">
        <v>1</v>
      </c>
      <c r="AF15" s="122" t="s">
        <v>794</v>
      </c>
    </row>
    <row r="16" spans="1:32" ht="84.95" customHeight="1">
      <c r="A16" s="36"/>
      <c r="B16" s="37"/>
      <c r="C16" s="38">
        <f>(30*13-SUM(C17:AF20))/(30*13)</f>
        <v>0.66666666666666663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85.5" customHeight="1">
      <c r="A17" s="2"/>
      <c r="B17" s="3" t="s">
        <v>121</v>
      </c>
      <c r="C17" s="2">
        <f t="shared" ref="C17:AF17" si="0">C28+C34</f>
        <v>0</v>
      </c>
      <c r="D17" s="2">
        <f t="shared" si="0"/>
        <v>0</v>
      </c>
      <c r="E17" s="4">
        <f t="shared" si="0"/>
        <v>1</v>
      </c>
      <c r="F17" s="4">
        <f t="shared" si="0"/>
        <v>1</v>
      </c>
      <c r="G17" s="4">
        <f t="shared" si="0"/>
        <v>0</v>
      </c>
      <c r="H17" s="4">
        <f t="shared" si="0"/>
        <v>1</v>
      </c>
      <c r="I17" s="4">
        <f t="shared" si="0"/>
        <v>1</v>
      </c>
      <c r="J17" s="4">
        <f t="shared" si="0"/>
        <v>1</v>
      </c>
      <c r="K17" s="4">
        <f t="shared" si="0"/>
        <v>0</v>
      </c>
      <c r="L17" s="4">
        <f t="shared" si="0"/>
        <v>0</v>
      </c>
      <c r="M17" s="4">
        <f t="shared" si="0"/>
        <v>0</v>
      </c>
      <c r="N17" s="4">
        <f t="shared" si="0"/>
        <v>1</v>
      </c>
      <c r="O17" s="4">
        <f t="shared" si="0"/>
        <v>1</v>
      </c>
      <c r="P17" s="4">
        <f t="shared" si="0"/>
        <v>1</v>
      </c>
      <c r="Q17" s="4">
        <f t="shared" si="0"/>
        <v>1</v>
      </c>
      <c r="R17" s="4">
        <f t="shared" si="0"/>
        <v>1</v>
      </c>
      <c r="S17" s="4">
        <f t="shared" si="0"/>
        <v>1</v>
      </c>
      <c r="T17" s="4">
        <f t="shared" si="0"/>
        <v>0</v>
      </c>
      <c r="U17" s="4">
        <f t="shared" si="0"/>
        <v>0</v>
      </c>
      <c r="V17" s="4">
        <f t="shared" si="0"/>
        <v>1</v>
      </c>
      <c r="W17" s="4">
        <f t="shared" si="0"/>
        <v>1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</row>
    <row r="18" spans="1:32" ht="85.5" customHeight="1">
      <c r="A18" s="2"/>
      <c r="B18" s="3" t="s">
        <v>122</v>
      </c>
      <c r="C18" s="2">
        <f t="shared" ref="C18:AF18" si="1">C26+C27+C31+C32+C33+C37</f>
        <v>2</v>
      </c>
      <c r="D18" s="2">
        <f t="shared" si="1"/>
        <v>2</v>
      </c>
      <c r="E18" s="4">
        <f t="shared" si="1"/>
        <v>3</v>
      </c>
      <c r="F18" s="4">
        <f t="shared" si="1"/>
        <v>3</v>
      </c>
      <c r="G18" s="4">
        <f t="shared" si="1"/>
        <v>2</v>
      </c>
      <c r="H18" s="4">
        <f t="shared" si="1"/>
        <v>1</v>
      </c>
      <c r="I18" s="4">
        <f t="shared" si="1"/>
        <v>0</v>
      </c>
      <c r="J18" s="4">
        <f t="shared" si="1"/>
        <v>1</v>
      </c>
      <c r="K18" s="4">
        <f t="shared" si="1"/>
        <v>2</v>
      </c>
      <c r="L18" s="4">
        <f t="shared" si="1"/>
        <v>3</v>
      </c>
      <c r="M18" s="4">
        <f t="shared" si="1"/>
        <v>1</v>
      </c>
      <c r="N18" s="4">
        <f t="shared" si="1"/>
        <v>3</v>
      </c>
      <c r="O18" s="4">
        <f t="shared" si="1"/>
        <v>2</v>
      </c>
      <c r="P18" s="4">
        <f t="shared" si="1"/>
        <v>1</v>
      </c>
      <c r="Q18" s="4">
        <f t="shared" si="1"/>
        <v>0</v>
      </c>
      <c r="R18" s="4">
        <f t="shared" si="1"/>
        <v>2</v>
      </c>
      <c r="S18" s="4">
        <f t="shared" si="1"/>
        <v>3</v>
      </c>
      <c r="T18" s="4">
        <f t="shared" si="1"/>
        <v>3</v>
      </c>
      <c r="U18" s="4">
        <f t="shared" si="1"/>
        <v>2</v>
      </c>
      <c r="V18" s="4">
        <f t="shared" si="1"/>
        <v>0</v>
      </c>
      <c r="W18" s="4">
        <f t="shared" si="1"/>
        <v>1</v>
      </c>
      <c r="X18" s="4">
        <f t="shared" si="1"/>
        <v>1</v>
      </c>
      <c r="Y18" s="4">
        <f t="shared" si="1"/>
        <v>0</v>
      </c>
      <c r="Z18" s="4">
        <f t="shared" si="1"/>
        <v>0</v>
      </c>
      <c r="AA18" s="4">
        <f t="shared" si="1"/>
        <v>0</v>
      </c>
      <c r="AB18" s="4">
        <f t="shared" si="1"/>
        <v>1</v>
      </c>
      <c r="AC18" s="4">
        <f t="shared" si="1"/>
        <v>2</v>
      </c>
      <c r="AD18" s="4">
        <f t="shared" si="1"/>
        <v>2</v>
      </c>
      <c r="AE18" s="4">
        <f t="shared" si="1"/>
        <v>2</v>
      </c>
      <c r="AF18" s="4">
        <f t="shared" si="1"/>
        <v>1</v>
      </c>
    </row>
    <row r="19" spans="1:32" ht="85.5" customHeight="1">
      <c r="A19" s="2"/>
      <c r="B19" s="3" t="s">
        <v>123</v>
      </c>
      <c r="C19" s="2">
        <f t="shared" ref="C19:AF19" si="2">C29+C30+C35+C36</f>
        <v>2</v>
      </c>
      <c r="D19" s="2">
        <f t="shared" si="2"/>
        <v>2</v>
      </c>
      <c r="E19" s="4">
        <f t="shared" si="2"/>
        <v>1</v>
      </c>
      <c r="F19" s="4">
        <f t="shared" si="2"/>
        <v>1</v>
      </c>
      <c r="G19" s="4">
        <f t="shared" si="2"/>
        <v>1</v>
      </c>
      <c r="H19" s="4">
        <f t="shared" si="2"/>
        <v>0</v>
      </c>
      <c r="I19" s="4">
        <f t="shared" si="2"/>
        <v>1</v>
      </c>
      <c r="J19" s="4">
        <f t="shared" si="2"/>
        <v>1</v>
      </c>
      <c r="K19" s="4">
        <f t="shared" si="2"/>
        <v>2</v>
      </c>
      <c r="L19" s="4">
        <f t="shared" si="2"/>
        <v>2</v>
      </c>
      <c r="M19" s="4">
        <f t="shared" si="2"/>
        <v>2</v>
      </c>
      <c r="N19" s="4">
        <f t="shared" si="2"/>
        <v>2</v>
      </c>
      <c r="O19" s="4">
        <f t="shared" si="2"/>
        <v>2</v>
      </c>
      <c r="P19" s="4">
        <f t="shared" si="2"/>
        <v>2</v>
      </c>
      <c r="Q19" s="4">
        <f t="shared" si="2"/>
        <v>2</v>
      </c>
      <c r="R19" s="4">
        <f t="shared" si="2"/>
        <v>2</v>
      </c>
      <c r="S19" s="4">
        <f t="shared" si="2"/>
        <v>2</v>
      </c>
      <c r="T19" s="4">
        <f t="shared" si="2"/>
        <v>2</v>
      </c>
      <c r="U19" s="4">
        <f t="shared" si="2"/>
        <v>2</v>
      </c>
      <c r="V19" s="4">
        <f t="shared" si="2"/>
        <v>2</v>
      </c>
      <c r="W19" s="4">
        <f t="shared" si="2"/>
        <v>3</v>
      </c>
      <c r="X19" s="4">
        <f t="shared" si="2"/>
        <v>2</v>
      </c>
      <c r="Y19" s="4">
        <f t="shared" si="2"/>
        <v>2</v>
      </c>
      <c r="Z19" s="4">
        <f t="shared" si="2"/>
        <v>2</v>
      </c>
      <c r="AA19" s="4">
        <f t="shared" si="2"/>
        <v>2</v>
      </c>
      <c r="AB19" s="4">
        <f t="shared" si="2"/>
        <v>2</v>
      </c>
      <c r="AC19" s="4">
        <f t="shared" si="2"/>
        <v>3</v>
      </c>
      <c r="AD19" s="4">
        <f t="shared" si="2"/>
        <v>4</v>
      </c>
      <c r="AE19" s="4">
        <f t="shared" si="2"/>
        <v>4</v>
      </c>
      <c r="AF19" s="4">
        <f t="shared" si="2"/>
        <v>4</v>
      </c>
    </row>
    <row r="20" spans="1:32" ht="85.5" customHeight="1">
      <c r="A20" s="2"/>
      <c r="B20" s="3" t="s">
        <v>124</v>
      </c>
      <c r="C20" s="2">
        <f t="shared" ref="C20:AF20" si="3">C38</f>
        <v>0</v>
      </c>
      <c r="D20" s="2">
        <f t="shared" si="3"/>
        <v>0</v>
      </c>
      <c r="E20" s="4">
        <f t="shared" si="3"/>
        <v>1</v>
      </c>
      <c r="F20" s="4">
        <f t="shared" si="3"/>
        <v>1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1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1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1</v>
      </c>
      <c r="AD20" s="4">
        <f t="shared" si="3"/>
        <v>1</v>
      </c>
      <c r="AE20" s="4">
        <f t="shared" si="3"/>
        <v>1</v>
      </c>
      <c r="AF20" s="4">
        <f t="shared" si="3"/>
        <v>0</v>
      </c>
    </row>
    <row r="21" spans="1:32" ht="85.5" customHeight="1">
      <c r="C21" s="41">
        <f t="shared" ref="C21:AF21" si="4">SUM(C17:C20)</f>
        <v>4</v>
      </c>
      <c r="D21" s="41">
        <f t="shared" si="4"/>
        <v>4</v>
      </c>
      <c r="E21" s="41">
        <f t="shared" si="4"/>
        <v>6</v>
      </c>
      <c r="F21" s="41">
        <f t="shared" si="4"/>
        <v>6</v>
      </c>
      <c r="G21" s="41">
        <f t="shared" si="4"/>
        <v>3</v>
      </c>
      <c r="H21" s="41">
        <f t="shared" si="4"/>
        <v>2</v>
      </c>
      <c r="I21" s="41">
        <f t="shared" si="4"/>
        <v>2</v>
      </c>
      <c r="J21" s="41">
        <f t="shared" si="4"/>
        <v>3</v>
      </c>
      <c r="K21" s="41">
        <f t="shared" si="4"/>
        <v>4</v>
      </c>
      <c r="L21" s="41">
        <f t="shared" si="4"/>
        <v>6</v>
      </c>
      <c r="M21" s="41">
        <f t="shared" si="4"/>
        <v>4</v>
      </c>
      <c r="N21" s="41">
        <f t="shared" si="4"/>
        <v>7</v>
      </c>
      <c r="O21" s="41">
        <f t="shared" si="4"/>
        <v>6</v>
      </c>
      <c r="P21" s="41">
        <f t="shared" si="4"/>
        <v>4</v>
      </c>
      <c r="Q21" s="41">
        <f t="shared" si="4"/>
        <v>3</v>
      </c>
      <c r="R21" s="41">
        <f t="shared" si="4"/>
        <v>5</v>
      </c>
      <c r="S21" s="41">
        <f t="shared" si="4"/>
        <v>6</v>
      </c>
      <c r="T21" s="41">
        <f t="shared" si="4"/>
        <v>5</v>
      </c>
      <c r="U21" s="41">
        <f t="shared" si="4"/>
        <v>4</v>
      </c>
      <c r="V21" s="41">
        <f t="shared" si="4"/>
        <v>3</v>
      </c>
      <c r="W21" s="41">
        <f t="shared" si="4"/>
        <v>5</v>
      </c>
      <c r="X21" s="41">
        <f t="shared" si="4"/>
        <v>4</v>
      </c>
      <c r="Y21" s="41">
        <f t="shared" si="4"/>
        <v>2</v>
      </c>
      <c r="Z21" s="41">
        <f t="shared" si="4"/>
        <v>2</v>
      </c>
      <c r="AA21" s="41">
        <f t="shared" si="4"/>
        <v>2</v>
      </c>
      <c r="AB21" s="41">
        <f t="shared" si="4"/>
        <v>3</v>
      </c>
      <c r="AC21" s="41">
        <f t="shared" si="4"/>
        <v>6</v>
      </c>
      <c r="AD21" s="41">
        <f t="shared" si="4"/>
        <v>7</v>
      </c>
      <c r="AE21" s="41">
        <f t="shared" si="4"/>
        <v>7</v>
      </c>
      <c r="AF21" s="41">
        <f t="shared" si="4"/>
        <v>5</v>
      </c>
    </row>
    <row r="22" spans="1:32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</row>
    <row r="23" spans="1:32" ht="71.099999999999994" customHeight="1"/>
    <row r="24" spans="1:32" ht="61.35" customHeight="1"/>
    <row r="26" spans="1:32" ht="42" customHeight="1">
      <c r="B26" s="42">
        <v>1</v>
      </c>
      <c r="C26" s="40">
        <f t="shared" ref="C26:N34" si="5">IF(C3=1,1,0)</f>
        <v>0</v>
      </c>
      <c r="D26" s="40">
        <f t="shared" si="5"/>
        <v>0</v>
      </c>
      <c r="E26" s="40">
        <f t="shared" si="5"/>
        <v>0</v>
      </c>
      <c r="F26" s="40">
        <f t="shared" si="5"/>
        <v>0</v>
      </c>
      <c r="G26" s="40">
        <f t="shared" si="5"/>
        <v>0</v>
      </c>
      <c r="H26" s="40">
        <f t="shared" si="5"/>
        <v>1</v>
      </c>
      <c r="I26" s="40">
        <f t="shared" si="5"/>
        <v>0</v>
      </c>
      <c r="J26" s="40">
        <f t="shared" si="5"/>
        <v>0</v>
      </c>
      <c r="K26" s="40">
        <f t="shared" si="5"/>
        <v>0</v>
      </c>
      <c r="L26" s="40">
        <f t="shared" si="5"/>
        <v>0</v>
      </c>
      <c r="M26" s="40">
        <f t="shared" si="5"/>
        <v>0</v>
      </c>
      <c r="N26" s="40">
        <f t="shared" si="5"/>
        <v>0</v>
      </c>
      <c r="O26" s="40">
        <f t="shared" ref="O26:AF26" si="6">IF(O3=1,1,0)</f>
        <v>0</v>
      </c>
      <c r="P26" s="40">
        <f t="shared" si="6"/>
        <v>0</v>
      </c>
      <c r="Q26" s="40">
        <f t="shared" si="6"/>
        <v>0</v>
      </c>
      <c r="R26" s="40">
        <f t="shared" si="6"/>
        <v>1</v>
      </c>
      <c r="S26" s="40">
        <f t="shared" si="6"/>
        <v>1</v>
      </c>
      <c r="T26" s="40">
        <f t="shared" si="6"/>
        <v>1</v>
      </c>
      <c r="U26" s="40">
        <f t="shared" si="6"/>
        <v>1</v>
      </c>
      <c r="V26" s="40">
        <f t="shared" si="6"/>
        <v>0</v>
      </c>
      <c r="W26" s="40">
        <f t="shared" si="6"/>
        <v>0</v>
      </c>
      <c r="X26" s="40">
        <f t="shared" si="6"/>
        <v>0</v>
      </c>
      <c r="Y26" s="40">
        <f t="shared" si="6"/>
        <v>0</v>
      </c>
      <c r="Z26" s="40">
        <f t="shared" si="6"/>
        <v>0</v>
      </c>
      <c r="AA26" s="40">
        <f t="shared" si="6"/>
        <v>0</v>
      </c>
      <c r="AB26" s="40">
        <f t="shared" si="6"/>
        <v>0</v>
      </c>
      <c r="AC26" s="40">
        <f t="shared" si="6"/>
        <v>0</v>
      </c>
      <c r="AD26" s="40">
        <f t="shared" si="6"/>
        <v>0</v>
      </c>
      <c r="AE26" s="40">
        <f t="shared" si="6"/>
        <v>0</v>
      </c>
      <c r="AF26" s="40">
        <f t="shared" si="6"/>
        <v>0</v>
      </c>
    </row>
    <row r="27" spans="1:32" ht="42" customHeight="1">
      <c r="B27" s="42">
        <v>2</v>
      </c>
      <c r="C27" s="40">
        <f t="shared" si="5"/>
        <v>0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si="5"/>
        <v>0</v>
      </c>
      <c r="I27" s="40">
        <f t="shared" si="5"/>
        <v>0</v>
      </c>
      <c r="J27" s="40">
        <f t="shared" si="5"/>
        <v>0</v>
      </c>
      <c r="K27" s="40">
        <f t="shared" si="5"/>
        <v>0</v>
      </c>
      <c r="L27" s="40">
        <f t="shared" si="5"/>
        <v>1</v>
      </c>
      <c r="M27" s="40">
        <f t="shared" si="5"/>
        <v>1</v>
      </c>
      <c r="N27" s="40">
        <f t="shared" si="5"/>
        <v>1</v>
      </c>
      <c r="O27" s="40">
        <f t="shared" ref="O27:AF27" si="7">IF(O4=1,1,0)</f>
        <v>1</v>
      </c>
      <c r="P27" s="40">
        <f t="shared" si="7"/>
        <v>0</v>
      </c>
      <c r="Q27" s="40">
        <f t="shared" si="7"/>
        <v>0</v>
      </c>
      <c r="R27" s="40">
        <f t="shared" si="7"/>
        <v>0</v>
      </c>
      <c r="S27" s="40">
        <f t="shared" si="7"/>
        <v>0</v>
      </c>
      <c r="T27" s="40">
        <f t="shared" si="7"/>
        <v>0</v>
      </c>
      <c r="U27" s="40">
        <f t="shared" si="7"/>
        <v>0</v>
      </c>
      <c r="V27" s="40">
        <f t="shared" si="7"/>
        <v>0</v>
      </c>
      <c r="W27" s="40">
        <f t="shared" si="7"/>
        <v>1</v>
      </c>
      <c r="X27" s="40">
        <f t="shared" si="7"/>
        <v>0</v>
      </c>
      <c r="Y27" s="40">
        <f t="shared" si="7"/>
        <v>0</v>
      </c>
      <c r="Z27" s="40">
        <f t="shared" si="7"/>
        <v>0</v>
      </c>
      <c r="AA27" s="40">
        <f t="shared" si="7"/>
        <v>0</v>
      </c>
      <c r="AB27" s="40">
        <f t="shared" si="7"/>
        <v>1</v>
      </c>
      <c r="AC27" s="40">
        <f t="shared" si="7"/>
        <v>1</v>
      </c>
      <c r="AD27" s="40">
        <f t="shared" si="7"/>
        <v>1</v>
      </c>
      <c r="AE27" s="40">
        <f t="shared" si="7"/>
        <v>0</v>
      </c>
      <c r="AF27" s="40">
        <f t="shared" si="7"/>
        <v>0</v>
      </c>
    </row>
    <row r="28" spans="1:32" ht="42" customHeight="1">
      <c r="B28" s="43">
        <v>3</v>
      </c>
      <c r="C28" s="40">
        <f t="shared" si="5"/>
        <v>0</v>
      </c>
      <c r="D28" s="40">
        <f t="shared" si="5"/>
        <v>0</v>
      </c>
      <c r="E28" s="40">
        <f t="shared" si="5"/>
        <v>1</v>
      </c>
      <c r="F28" s="40">
        <f t="shared" si="5"/>
        <v>1</v>
      </c>
      <c r="G28" s="40">
        <f t="shared" si="5"/>
        <v>0</v>
      </c>
      <c r="H28" s="40">
        <f t="shared" si="5"/>
        <v>0</v>
      </c>
      <c r="I28" s="40">
        <f t="shared" si="5"/>
        <v>0</v>
      </c>
      <c r="J28" s="40">
        <f t="shared" si="5"/>
        <v>0</v>
      </c>
      <c r="K28" s="40">
        <f t="shared" si="5"/>
        <v>0</v>
      </c>
      <c r="L28" s="40">
        <f t="shared" si="5"/>
        <v>0</v>
      </c>
      <c r="M28" s="40">
        <f t="shared" si="5"/>
        <v>0</v>
      </c>
      <c r="N28" s="40">
        <f t="shared" si="5"/>
        <v>0</v>
      </c>
      <c r="O28" s="40">
        <f t="shared" ref="O28:AF28" si="8">IF(O5=1,1,0)</f>
        <v>0</v>
      </c>
      <c r="P28" s="40">
        <f t="shared" si="8"/>
        <v>0</v>
      </c>
      <c r="Q28" s="40">
        <f t="shared" si="8"/>
        <v>0</v>
      </c>
      <c r="R28" s="40">
        <f t="shared" si="8"/>
        <v>0</v>
      </c>
      <c r="S28" s="40">
        <f t="shared" si="8"/>
        <v>0</v>
      </c>
      <c r="T28" s="40">
        <f t="shared" si="8"/>
        <v>0</v>
      </c>
      <c r="U28" s="40">
        <f t="shared" si="8"/>
        <v>0</v>
      </c>
      <c r="V28" s="40">
        <f t="shared" si="8"/>
        <v>1</v>
      </c>
      <c r="W28" s="40">
        <f t="shared" si="8"/>
        <v>1</v>
      </c>
      <c r="X28" s="40">
        <f t="shared" si="8"/>
        <v>0</v>
      </c>
      <c r="Y28" s="40">
        <f t="shared" si="8"/>
        <v>0</v>
      </c>
      <c r="Z28" s="40">
        <f t="shared" si="8"/>
        <v>0</v>
      </c>
      <c r="AA28" s="40">
        <f t="shared" si="8"/>
        <v>0</v>
      </c>
      <c r="AB28" s="40">
        <f t="shared" si="8"/>
        <v>0</v>
      </c>
      <c r="AC28" s="40">
        <f t="shared" si="8"/>
        <v>0</v>
      </c>
      <c r="AD28" s="40">
        <f t="shared" si="8"/>
        <v>0</v>
      </c>
      <c r="AE28" s="40">
        <f t="shared" si="8"/>
        <v>0</v>
      </c>
      <c r="AF28" s="40">
        <f t="shared" si="8"/>
        <v>0</v>
      </c>
    </row>
    <row r="29" spans="1:32" ht="42" customHeight="1">
      <c r="B29" s="44">
        <v>4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40">
        <f t="shared" si="5"/>
        <v>0</v>
      </c>
      <c r="I29" s="40">
        <f t="shared" si="5"/>
        <v>0</v>
      </c>
      <c r="J29" s="40">
        <f t="shared" si="5"/>
        <v>0</v>
      </c>
      <c r="K29" s="40">
        <f t="shared" si="5"/>
        <v>1</v>
      </c>
      <c r="L29" s="40">
        <f t="shared" si="5"/>
        <v>1</v>
      </c>
      <c r="M29" s="40">
        <f t="shared" si="5"/>
        <v>1</v>
      </c>
      <c r="N29" s="40">
        <f t="shared" si="5"/>
        <v>0</v>
      </c>
      <c r="O29" s="40">
        <f t="shared" ref="O29:AF29" si="9">IF(O6=1,1,0)</f>
        <v>0</v>
      </c>
      <c r="P29" s="40">
        <f t="shared" si="9"/>
        <v>0</v>
      </c>
      <c r="Q29" s="40">
        <f t="shared" si="9"/>
        <v>1</v>
      </c>
      <c r="R29" s="40">
        <f t="shared" si="9"/>
        <v>1</v>
      </c>
      <c r="S29" s="40">
        <f t="shared" si="9"/>
        <v>1</v>
      </c>
      <c r="T29" s="40">
        <f t="shared" si="9"/>
        <v>1</v>
      </c>
      <c r="U29" s="40">
        <f t="shared" si="9"/>
        <v>1</v>
      </c>
      <c r="V29" s="40">
        <f t="shared" si="9"/>
        <v>0</v>
      </c>
      <c r="W29" s="40">
        <f t="shared" si="9"/>
        <v>0</v>
      </c>
      <c r="X29" s="40">
        <f t="shared" si="9"/>
        <v>0</v>
      </c>
      <c r="Y29" s="40">
        <f t="shared" si="9"/>
        <v>0</v>
      </c>
      <c r="Z29" s="40">
        <f t="shared" si="9"/>
        <v>0</v>
      </c>
      <c r="AA29" s="40">
        <f t="shared" si="9"/>
        <v>0</v>
      </c>
      <c r="AB29" s="40">
        <f t="shared" si="9"/>
        <v>0</v>
      </c>
      <c r="AC29" s="40">
        <f t="shared" si="9"/>
        <v>1</v>
      </c>
      <c r="AD29" s="40">
        <f t="shared" si="9"/>
        <v>1</v>
      </c>
      <c r="AE29" s="40">
        <f t="shared" si="9"/>
        <v>1</v>
      </c>
      <c r="AF29" s="40">
        <f t="shared" si="9"/>
        <v>1</v>
      </c>
    </row>
    <row r="30" spans="1:32" ht="42" customHeight="1">
      <c r="B30" s="44">
        <v>5</v>
      </c>
      <c r="C30" s="40">
        <f t="shared" si="5"/>
        <v>1</v>
      </c>
      <c r="D30" s="40">
        <f t="shared" si="5"/>
        <v>1</v>
      </c>
      <c r="E30" s="40">
        <f t="shared" si="5"/>
        <v>1</v>
      </c>
      <c r="F30" s="40">
        <f t="shared" si="5"/>
        <v>1</v>
      </c>
      <c r="G30" s="40">
        <f t="shared" si="5"/>
        <v>1</v>
      </c>
      <c r="H30" s="40">
        <f t="shared" si="5"/>
        <v>0</v>
      </c>
      <c r="I30" s="40">
        <f t="shared" si="5"/>
        <v>0</v>
      </c>
      <c r="J30" s="40">
        <f t="shared" si="5"/>
        <v>0</v>
      </c>
      <c r="K30" s="40">
        <f t="shared" si="5"/>
        <v>0</v>
      </c>
      <c r="L30" s="40">
        <f t="shared" si="5"/>
        <v>0</v>
      </c>
      <c r="M30" s="40">
        <f t="shared" si="5"/>
        <v>0</v>
      </c>
      <c r="N30" s="40">
        <f t="shared" si="5"/>
        <v>1</v>
      </c>
      <c r="O30" s="40">
        <f t="shared" ref="O30:AF30" si="10">IF(O7=1,1,0)</f>
        <v>1</v>
      </c>
      <c r="P30" s="40">
        <f t="shared" si="10"/>
        <v>1</v>
      </c>
      <c r="Q30" s="40">
        <f t="shared" si="10"/>
        <v>1</v>
      </c>
      <c r="R30" s="40">
        <f t="shared" si="10"/>
        <v>1</v>
      </c>
      <c r="S30" s="40">
        <f t="shared" si="10"/>
        <v>1</v>
      </c>
      <c r="T30" s="40">
        <f t="shared" si="10"/>
        <v>1</v>
      </c>
      <c r="U30" s="40">
        <f t="shared" si="10"/>
        <v>1</v>
      </c>
      <c r="V30" s="40">
        <f t="shared" si="10"/>
        <v>1</v>
      </c>
      <c r="W30" s="40">
        <f t="shared" si="10"/>
        <v>1</v>
      </c>
      <c r="X30" s="40">
        <f t="shared" si="10"/>
        <v>0</v>
      </c>
      <c r="Y30" s="40">
        <f t="shared" si="10"/>
        <v>0</v>
      </c>
      <c r="Z30" s="40">
        <f t="shared" si="10"/>
        <v>0</v>
      </c>
      <c r="AA30" s="40">
        <f t="shared" si="10"/>
        <v>0</v>
      </c>
      <c r="AB30" s="40">
        <f t="shared" si="10"/>
        <v>0</v>
      </c>
      <c r="AC30" s="40">
        <f t="shared" si="10"/>
        <v>0</v>
      </c>
      <c r="AD30" s="40">
        <f t="shared" si="10"/>
        <v>1</v>
      </c>
      <c r="AE30" s="40">
        <f t="shared" si="10"/>
        <v>1</v>
      </c>
      <c r="AF30" s="40">
        <f t="shared" si="10"/>
        <v>1</v>
      </c>
    </row>
    <row r="31" spans="1:32" ht="42" customHeight="1">
      <c r="B31" s="42">
        <v>6</v>
      </c>
      <c r="C31" s="40">
        <f t="shared" si="5"/>
        <v>0</v>
      </c>
      <c r="D31" s="40">
        <f t="shared" si="5"/>
        <v>0</v>
      </c>
      <c r="E31" s="40">
        <f t="shared" si="5"/>
        <v>1</v>
      </c>
      <c r="F31" s="40">
        <f t="shared" si="5"/>
        <v>1</v>
      </c>
      <c r="G31" s="40">
        <f t="shared" si="5"/>
        <v>1</v>
      </c>
      <c r="H31" s="40">
        <f t="shared" si="5"/>
        <v>0</v>
      </c>
      <c r="I31" s="40">
        <f t="shared" si="5"/>
        <v>0</v>
      </c>
      <c r="J31" s="40">
        <f t="shared" si="5"/>
        <v>0</v>
      </c>
      <c r="K31" s="40">
        <f t="shared" si="5"/>
        <v>0</v>
      </c>
      <c r="L31" s="40">
        <f t="shared" si="5"/>
        <v>0</v>
      </c>
      <c r="M31" s="40">
        <f t="shared" si="5"/>
        <v>0</v>
      </c>
      <c r="N31" s="40">
        <f t="shared" si="5"/>
        <v>1</v>
      </c>
      <c r="O31" s="40">
        <f t="shared" ref="O31:AF31" si="11">IF(O8=1,1,0)</f>
        <v>0</v>
      </c>
      <c r="P31" s="40">
        <f t="shared" si="11"/>
        <v>0</v>
      </c>
      <c r="Q31" s="40">
        <f t="shared" si="11"/>
        <v>0</v>
      </c>
      <c r="R31" s="40">
        <f t="shared" si="11"/>
        <v>1</v>
      </c>
      <c r="S31" s="40">
        <f t="shared" si="11"/>
        <v>1</v>
      </c>
      <c r="T31" s="40">
        <f t="shared" si="11"/>
        <v>1</v>
      </c>
      <c r="U31" s="40">
        <f t="shared" si="11"/>
        <v>1</v>
      </c>
      <c r="V31" s="40">
        <f t="shared" si="11"/>
        <v>0</v>
      </c>
      <c r="W31" s="40">
        <f t="shared" si="11"/>
        <v>0</v>
      </c>
      <c r="X31" s="40">
        <f t="shared" si="11"/>
        <v>0</v>
      </c>
      <c r="Y31" s="40">
        <f t="shared" si="11"/>
        <v>0</v>
      </c>
      <c r="Z31" s="40">
        <f t="shared" si="11"/>
        <v>0</v>
      </c>
      <c r="AA31" s="40">
        <f t="shared" si="11"/>
        <v>0</v>
      </c>
      <c r="AB31" s="40">
        <f t="shared" si="11"/>
        <v>0</v>
      </c>
      <c r="AC31" s="40">
        <f t="shared" si="11"/>
        <v>0</v>
      </c>
      <c r="AD31" s="40">
        <f t="shared" si="11"/>
        <v>0</v>
      </c>
      <c r="AE31" s="40">
        <f t="shared" si="11"/>
        <v>0</v>
      </c>
      <c r="AF31" s="40">
        <f t="shared" si="11"/>
        <v>0</v>
      </c>
    </row>
    <row r="32" spans="1:32" ht="42" customHeight="1">
      <c r="B32" s="42">
        <v>7</v>
      </c>
      <c r="C32" s="40">
        <f t="shared" si="5"/>
        <v>1</v>
      </c>
      <c r="D32" s="40">
        <f t="shared" si="5"/>
        <v>1</v>
      </c>
      <c r="E32" s="40">
        <f t="shared" si="5"/>
        <v>1</v>
      </c>
      <c r="F32" s="40">
        <f t="shared" si="5"/>
        <v>1</v>
      </c>
      <c r="G32" s="40">
        <f t="shared" si="5"/>
        <v>0</v>
      </c>
      <c r="H32" s="40">
        <f t="shared" si="5"/>
        <v>0</v>
      </c>
      <c r="I32" s="40">
        <f t="shared" si="5"/>
        <v>0</v>
      </c>
      <c r="J32" s="40">
        <f t="shared" si="5"/>
        <v>1</v>
      </c>
      <c r="K32" s="40">
        <f t="shared" si="5"/>
        <v>1</v>
      </c>
      <c r="L32" s="40">
        <f t="shared" si="5"/>
        <v>1</v>
      </c>
      <c r="M32" s="40">
        <f t="shared" si="5"/>
        <v>0</v>
      </c>
      <c r="N32" s="40">
        <f t="shared" si="5"/>
        <v>0</v>
      </c>
      <c r="O32" s="40">
        <f t="shared" ref="O32:AF32" si="12">IF(O9=1,1,0)</f>
        <v>0</v>
      </c>
      <c r="P32" s="40">
        <f t="shared" si="12"/>
        <v>0</v>
      </c>
      <c r="Q32" s="40">
        <f t="shared" si="12"/>
        <v>0</v>
      </c>
      <c r="R32" s="40">
        <f t="shared" si="12"/>
        <v>0</v>
      </c>
      <c r="S32" s="40">
        <f t="shared" si="12"/>
        <v>0</v>
      </c>
      <c r="T32" s="40">
        <f t="shared" si="12"/>
        <v>0</v>
      </c>
      <c r="U32" s="40">
        <f t="shared" si="12"/>
        <v>0</v>
      </c>
      <c r="V32" s="40">
        <f t="shared" si="12"/>
        <v>0</v>
      </c>
      <c r="W32" s="40">
        <f t="shared" si="12"/>
        <v>0</v>
      </c>
      <c r="X32" s="40">
        <f t="shared" si="12"/>
        <v>0</v>
      </c>
      <c r="Y32" s="40">
        <f t="shared" si="12"/>
        <v>0</v>
      </c>
      <c r="Z32" s="40">
        <f t="shared" si="12"/>
        <v>0</v>
      </c>
      <c r="AA32" s="40">
        <f t="shared" si="12"/>
        <v>0</v>
      </c>
      <c r="AB32" s="40">
        <f t="shared" si="12"/>
        <v>0</v>
      </c>
      <c r="AC32" s="40">
        <f t="shared" si="12"/>
        <v>0</v>
      </c>
      <c r="AD32" s="40">
        <f t="shared" si="12"/>
        <v>0</v>
      </c>
      <c r="AE32" s="40">
        <f t="shared" si="12"/>
        <v>1</v>
      </c>
      <c r="AF32" s="40">
        <f t="shared" si="12"/>
        <v>1</v>
      </c>
    </row>
    <row r="33" spans="2:32" ht="42" customHeight="1">
      <c r="B33" s="42">
        <v>8</v>
      </c>
      <c r="C33" s="40">
        <f t="shared" si="5"/>
        <v>1</v>
      </c>
      <c r="D33" s="40">
        <f t="shared" si="5"/>
        <v>1</v>
      </c>
      <c r="E33" s="40">
        <f t="shared" si="5"/>
        <v>1</v>
      </c>
      <c r="F33" s="40">
        <f t="shared" si="5"/>
        <v>1</v>
      </c>
      <c r="G33" s="40">
        <f t="shared" si="5"/>
        <v>1</v>
      </c>
      <c r="H33" s="40">
        <f t="shared" si="5"/>
        <v>0</v>
      </c>
      <c r="I33" s="40">
        <f t="shared" si="5"/>
        <v>0</v>
      </c>
      <c r="J33" s="40">
        <f t="shared" si="5"/>
        <v>0</v>
      </c>
      <c r="K33" s="40">
        <f t="shared" si="5"/>
        <v>1</v>
      </c>
      <c r="L33" s="40">
        <f t="shared" si="5"/>
        <v>1</v>
      </c>
      <c r="M33" s="40">
        <f t="shared" si="5"/>
        <v>0</v>
      </c>
      <c r="N33" s="40">
        <f t="shared" si="5"/>
        <v>0</v>
      </c>
      <c r="O33" s="40">
        <f t="shared" ref="O33:AF33" si="13">IF(O10=1,1,0)</f>
        <v>0</v>
      </c>
      <c r="P33" s="40">
        <f t="shared" si="13"/>
        <v>0</v>
      </c>
      <c r="Q33" s="40">
        <f t="shared" si="13"/>
        <v>0</v>
      </c>
      <c r="R33" s="40">
        <f t="shared" si="13"/>
        <v>0</v>
      </c>
      <c r="S33" s="40">
        <f t="shared" si="13"/>
        <v>1</v>
      </c>
      <c r="T33" s="40">
        <f t="shared" si="13"/>
        <v>1</v>
      </c>
      <c r="U33" s="40">
        <f t="shared" si="13"/>
        <v>0</v>
      </c>
      <c r="V33" s="40">
        <f t="shared" si="13"/>
        <v>0</v>
      </c>
      <c r="W33" s="40">
        <f t="shared" si="13"/>
        <v>0</v>
      </c>
      <c r="X33" s="40">
        <f t="shared" si="13"/>
        <v>1</v>
      </c>
      <c r="Y33" s="40">
        <f t="shared" si="13"/>
        <v>0</v>
      </c>
      <c r="Z33" s="40">
        <f t="shared" si="13"/>
        <v>0</v>
      </c>
      <c r="AA33" s="40">
        <f t="shared" si="13"/>
        <v>0</v>
      </c>
      <c r="AB33" s="40">
        <f t="shared" si="13"/>
        <v>0</v>
      </c>
      <c r="AC33" s="40">
        <f t="shared" si="13"/>
        <v>0</v>
      </c>
      <c r="AD33" s="40">
        <f t="shared" si="13"/>
        <v>0</v>
      </c>
      <c r="AE33" s="40">
        <f t="shared" si="13"/>
        <v>0</v>
      </c>
      <c r="AF33" s="40">
        <f t="shared" si="13"/>
        <v>0</v>
      </c>
    </row>
    <row r="34" spans="2:32" ht="42" customHeight="1">
      <c r="B34" s="43">
        <v>9</v>
      </c>
      <c r="C34" s="40">
        <f t="shared" si="5"/>
        <v>0</v>
      </c>
      <c r="D34" s="40">
        <f t="shared" si="5"/>
        <v>0</v>
      </c>
      <c r="E34" s="40">
        <f t="shared" si="5"/>
        <v>0</v>
      </c>
      <c r="F34" s="40">
        <f t="shared" si="5"/>
        <v>0</v>
      </c>
      <c r="G34" s="40">
        <f t="shared" si="5"/>
        <v>0</v>
      </c>
      <c r="H34" s="40">
        <f t="shared" si="5"/>
        <v>1</v>
      </c>
      <c r="I34" s="40">
        <f t="shared" si="5"/>
        <v>1</v>
      </c>
      <c r="J34" s="40">
        <f t="shared" ref="J34:N34" si="14">IF(J11=1,1,0)</f>
        <v>1</v>
      </c>
      <c r="K34" s="40">
        <f t="shared" si="14"/>
        <v>0</v>
      </c>
      <c r="L34" s="40">
        <f t="shared" si="14"/>
        <v>0</v>
      </c>
      <c r="M34" s="40">
        <f t="shared" si="14"/>
        <v>0</v>
      </c>
      <c r="N34" s="40">
        <f t="shared" si="14"/>
        <v>1</v>
      </c>
      <c r="O34" s="40">
        <f t="shared" ref="O34:AF34" si="15">IF(O11=1,1,0)</f>
        <v>1</v>
      </c>
      <c r="P34" s="40">
        <f t="shared" si="15"/>
        <v>1</v>
      </c>
      <c r="Q34" s="40">
        <f t="shared" si="15"/>
        <v>1</v>
      </c>
      <c r="R34" s="40">
        <f t="shared" si="15"/>
        <v>1</v>
      </c>
      <c r="S34" s="40">
        <f t="shared" si="15"/>
        <v>1</v>
      </c>
      <c r="T34" s="40">
        <f t="shared" si="15"/>
        <v>0</v>
      </c>
      <c r="U34" s="40">
        <f t="shared" si="15"/>
        <v>0</v>
      </c>
      <c r="V34" s="40">
        <f t="shared" si="15"/>
        <v>0</v>
      </c>
      <c r="W34" s="40">
        <f t="shared" si="15"/>
        <v>0</v>
      </c>
      <c r="X34" s="40">
        <f t="shared" si="15"/>
        <v>0</v>
      </c>
      <c r="Y34" s="40">
        <f t="shared" si="15"/>
        <v>0</v>
      </c>
      <c r="Z34" s="40">
        <f t="shared" si="15"/>
        <v>0</v>
      </c>
      <c r="AA34" s="40">
        <f t="shared" si="15"/>
        <v>0</v>
      </c>
      <c r="AB34" s="40">
        <f t="shared" si="15"/>
        <v>0</v>
      </c>
      <c r="AC34" s="40">
        <f t="shared" si="15"/>
        <v>0</v>
      </c>
      <c r="AD34" s="40">
        <f t="shared" si="15"/>
        <v>0</v>
      </c>
      <c r="AE34" s="40">
        <f t="shared" si="15"/>
        <v>0</v>
      </c>
      <c r="AF34" s="40">
        <f t="shared" si="15"/>
        <v>0</v>
      </c>
    </row>
    <row r="35" spans="2:32" ht="42" customHeight="1">
      <c r="B35" s="44">
        <v>10</v>
      </c>
      <c r="C35" s="40">
        <f t="shared" ref="C35:N38" si="16">IF(C12=1,1,0)</f>
        <v>1</v>
      </c>
      <c r="D35" s="40">
        <f t="shared" si="16"/>
        <v>1</v>
      </c>
      <c r="E35" s="40">
        <f t="shared" si="16"/>
        <v>0</v>
      </c>
      <c r="F35" s="40">
        <f t="shared" si="16"/>
        <v>0</v>
      </c>
      <c r="G35" s="40">
        <f t="shared" si="16"/>
        <v>0</v>
      </c>
      <c r="H35" s="40">
        <f t="shared" si="16"/>
        <v>0</v>
      </c>
      <c r="I35" s="40">
        <f t="shared" si="16"/>
        <v>0</v>
      </c>
      <c r="J35" s="40">
        <f t="shared" si="16"/>
        <v>0</v>
      </c>
      <c r="K35" s="40">
        <f t="shared" si="16"/>
        <v>0</v>
      </c>
      <c r="L35" s="40">
        <f t="shared" si="16"/>
        <v>0</v>
      </c>
      <c r="M35" s="40">
        <f t="shared" si="16"/>
        <v>0</v>
      </c>
      <c r="N35" s="40">
        <f t="shared" si="16"/>
        <v>0</v>
      </c>
      <c r="O35" s="40">
        <f t="shared" ref="O35:AF35" si="17">IF(O12=1,1,0)</f>
        <v>0</v>
      </c>
      <c r="P35" s="40">
        <f t="shared" si="17"/>
        <v>0</v>
      </c>
      <c r="Q35" s="40">
        <f t="shared" si="17"/>
        <v>0</v>
      </c>
      <c r="R35" s="40">
        <f t="shared" si="17"/>
        <v>0</v>
      </c>
      <c r="S35" s="40">
        <f t="shared" si="17"/>
        <v>0</v>
      </c>
      <c r="T35" s="40">
        <f t="shared" si="17"/>
        <v>0</v>
      </c>
      <c r="U35" s="40">
        <f t="shared" si="17"/>
        <v>0</v>
      </c>
      <c r="V35" s="40">
        <f t="shared" si="17"/>
        <v>1</v>
      </c>
      <c r="W35" s="40">
        <f t="shared" si="17"/>
        <v>1</v>
      </c>
      <c r="X35" s="40">
        <f t="shared" si="17"/>
        <v>1</v>
      </c>
      <c r="Y35" s="40">
        <f t="shared" si="17"/>
        <v>1</v>
      </c>
      <c r="Z35" s="40">
        <f t="shared" si="17"/>
        <v>1</v>
      </c>
      <c r="AA35" s="40">
        <f t="shared" si="17"/>
        <v>1</v>
      </c>
      <c r="AB35" s="40">
        <f t="shared" si="17"/>
        <v>1</v>
      </c>
      <c r="AC35" s="40">
        <f t="shared" si="17"/>
        <v>1</v>
      </c>
      <c r="AD35" s="40">
        <f t="shared" si="17"/>
        <v>1</v>
      </c>
      <c r="AE35" s="40">
        <f t="shared" si="17"/>
        <v>1</v>
      </c>
      <c r="AF35" s="40">
        <f t="shared" si="17"/>
        <v>1</v>
      </c>
    </row>
    <row r="36" spans="2:32" ht="42" customHeight="1">
      <c r="B36" s="44">
        <v>11</v>
      </c>
      <c r="C36" s="40">
        <f t="shared" si="16"/>
        <v>0</v>
      </c>
      <c r="D36" s="40">
        <f t="shared" si="16"/>
        <v>0</v>
      </c>
      <c r="E36" s="40">
        <f t="shared" si="16"/>
        <v>0</v>
      </c>
      <c r="F36" s="40">
        <f t="shared" si="16"/>
        <v>0</v>
      </c>
      <c r="G36" s="40">
        <f t="shared" si="16"/>
        <v>0</v>
      </c>
      <c r="H36" s="40">
        <f t="shared" si="16"/>
        <v>0</v>
      </c>
      <c r="I36" s="40">
        <f t="shared" si="16"/>
        <v>1</v>
      </c>
      <c r="J36" s="40">
        <f t="shared" si="16"/>
        <v>1</v>
      </c>
      <c r="K36" s="40">
        <f t="shared" si="16"/>
        <v>1</v>
      </c>
      <c r="L36" s="40">
        <f t="shared" si="16"/>
        <v>1</v>
      </c>
      <c r="M36" s="40">
        <f t="shared" si="16"/>
        <v>1</v>
      </c>
      <c r="N36" s="40">
        <f t="shared" si="16"/>
        <v>1</v>
      </c>
      <c r="O36" s="40">
        <f t="shared" ref="O36:AF36" si="18">IF(O13=1,1,0)</f>
        <v>1</v>
      </c>
      <c r="P36" s="40">
        <f t="shared" si="18"/>
        <v>1</v>
      </c>
      <c r="Q36" s="40">
        <f t="shared" si="18"/>
        <v>0</v>
      </c>
      <c r="R36" s="40">
        <f t="shared" si="18"/>
        <v>0</v>
      </c>
      <c r="S36" s="40">
        <f t="shared" si="18"/>
        <v>0</v>
      </c>
      <c r="T36" s="40">
        <f t="shared" si="18"/>
        <v>0</v>
      </c>
      <c r="U36" s="40">
        <f t="shared" si="18"/>
        <v>0</v>
      </c>
      <c r="V36" s="40">
        <f t="shared" si="18"/>
        <v>0</v>
      </c>
      <c r="W36" s="40">
        <f t="shared" si="18"/>
        <v>1</v>
      </c>
      <c r="X36" s="40">
        <f t="shared" si="18"/>
        <v>1</v>
      </c>
      <c r="Y36" s="40">
        <f t="shared" si="18"/>
        <v>1</v>
      </c>
      <c r="Z36" s="40">
        <f t="shared" si="18"/>
        <v>1</v>
      </c>
      <c r="AA36" s="40">
        <f t="shared" si="18"/>
        <v>1</v>
      </c>
      <c r="AB36" s="40">
        <f t="shared" si="18"/>
        <v>1</v>
      </c>
      <c r="AC36" s="40">
        <f t="shared" si="18"/>
        <v>1</v>
      </c>
      <c r="AD36" s="40">
        <f t="shared" si="18"/>
        <v>1</v>
      </c>
      <c r="AE36" s="40">
        <f t="shared" si="18"/>
        <v>1</v>
      </c>
      <c r="AF36" s="40">
        <f t="shared" si="18"/>
        <v>1</v>
      </c>
    </row>
    <row r="37" spans="2:32" ht="42" customHeight="1">
      <c r="B37" s="42">
        <v>12</v>
      </c>
      <c r="C37" s="40">
        <f t="shared" si="16"/>
        <v>0</v>
      </c>
      <c r="D37" s="40">
        <f t="shared" si="16"/>
        <v>0</v>
      </c>
      <c r="E37" s="40">
        <f t="shared" si="16"/>
        <v>0</v>
      </c>
      <c r="F37" s="40">
        <f t="shared" si="16"/>
        <v>0</v>
      </c>
      <c r="G37" s="40">
        <f t="shared" si="16"/>
        <v>0</v>
      </c>
      <c r="H37" s="40">
        <f t="shared" si="16"/>
        <v>0</v>
      </c>
      <c r="I37" s="40">
        <f t="shared" si="16"/>
        <v>0</v>
      </c>
      <c r="J37" s="40">
        <f t="shared" si="16"/>
        <v>0</v>
      </c>
      <c r="K37" s="40">
        <f t="shared" si="16"/>
        <v>0</v>
      </c>
      <c r="L37" s="40">
        <f t="shared" si="16"/>
        <v>0</v>
      </c>
      <c r="M37" s="40">
        <f t="shared" si="16"/>
        <v>0</v>
      </c>
      <c r="N37" s="40">
        <f t="shared" si="16"/>
        <v>1</v>
      </c>
      <c r="O37" s="40">
        <f t="shared" ref="O37:AF37" si="19">IF(O14=1,1,0)</f>
        <v>1</v>
      </c>
      <c r="P37" s="40">
        <f t="shared" si="19"/>
        <v>1</v>
      </c>
      <c r="Q37" s="40">
        <f t="shared" si="19"/>
        <v>0</v>
      </c>
      <c r="R37" s="40">
        <f t="shared" si="19"/>
        <v>0</v>
      </c>
      <c r="S37" s="40">
        <f t="shared" si="19"/>
        <v>0</v>
      </c>
      <c r="T37" s="40">
        <f t="shared" si="19"/>
        <v>0</v>
      </c>
      <c r="U37" s="40">
        <f t="shared" si="19"/>
        <v>0</v>
      </c>
      <c r="V37" s="40">
        <f t="shared" si="19"/>
        <v>0</v>
      </c>
      <c r="W37" s="40">
        <f t="shared" si="19"/>
        <v>0</v>
      </c>
      <c r="X37" s="40">
        <f t="shared" si="19"/>
        <v>0</v>
      </c>
      <c r="Y37" s="40">
        <f t="shared" si="19"/>
        <v>0</v>
      </c>
      <c r="Z37" s="40">
        <f t="shared" si="19"/>
        <v>0</v>
      </c>
      <c r="AA37" s="40">
        <f t="shared" si="19"/>
        <v>0</v>
      </c>
      <c r="AB37" s="40">
        <f t="shared" si="19"/>
        <v>0</v>
      </c>
      <c r="AC37" s="40">
        <f t="shared" si="19"/>
        <v>1</v>
      </c>
      <c r="AD37" s="40">
        <f t="shared" si="19"/>
        <v>1</v>
      </c>
      <c r="AE37" s="40">
        <f t="shared" si="19"/>
        <v>1</v>
      </c>
      <c r="AF37" s="40">
        <f t="shared" si="19"/>
        <v>0</v>
      </c>
    </row>
    <row r="38" spans="2:32" ht="42" customHeight="1">
      <c r="B38" s="45" t="s">
        <v>111</v>
      </c>
      <c r="C38" s="40">
        <f t="shared" si="16"/>
        <v>0</v>
      </c>
      <c r="D38" s="40">
        <f t="shared" si="16"/>
        <v>0</v>
      </c>
      <c r="E38" s="40">
        <f t="shared" si="16"/>
        <v>1</v>
      </c>
      <c r="F38" s="40">
        <f t="shared" si="16"/>
        <v>1</v>
      </c>
      <c r="G38" s="40">
        <f t="shared" si="16"/>
        <v>0</v>
      </c>
      <c r="H38" s="40">
        <f t="shared" si="16"/>
        <v>0</v>
      </c>
      <c r="I38" s="40">
        <f t="shared" si="16"/>
        <v>0</v>
      </c>
      <c r="J38" s="40">
        <f t="shared" si="16"/>
        <v>0</v>
      </c>
      <c r="K38" s="40">
        <f t="shared" si="16"/>
        <v>0</v>
      </c>
      <c r="L38" s="40">
        <f t="shared" si="16"/>
        <v>1</v>
      </c>
      <c r="M38" s="40">
        <f t="shared" si="16"/>
        <v>1</v>
      </c>
      <c r="N38" s="40">
        <f t="shared" si="16"/>
        <v>1</v>
      </c>
      <c r="O38" s="40">
        <f t="shared" ref="O38:AF38" si="20">IF(O15=1,1,0)</f>
        <v>1</v>
      </c>
      <c r="P38" s="40">
        <f t="shared" si="20"/>
        <v>0</v>
      </c>
      <c r="Q38" s="40">
        <f t="shared" si="20"/>
        <v>0</v>
      </c>
      <c r="R38" s="40">
        <f t="shared" si="20"/>
        <v>0</v>
      </c>
      <c r="S38" s="40">
        <f t="shared" si="20"/>
        <v>0</v>
      </c>
      <c r="T38" s="40">
        <f t="shared" si="20"/>
        <v>0</v>
      </c>
      <c r="U38" s="40">
        <f t="shared" si="20"/>
        <v>0</v>
      </c>
      <c r="V38" s="40">
        <f t="shared" si="20"/>
        <v>0</v>
      </c>
      <c r="W38" s="40">
        <f t="shared" si="20"/>
        <v>0</v>
      </c>
      <c r="X38" s="40">
        <f t="shared" si="20"/>
        <v>1</v>
      </c>
      <c r="Y38" s="40">
        <f t="shared" si="20"/>
        <v>0</v>
      </c>
      <c r="Z38" s="40">
        <f t="shared" si="20"/>
        <v>0</v>
      </c>
      <c r="AA38" s="40">
        <f t="shared" si="20"/>
        <v>0</v>
      </c>
      <c r="AB38" s="40">
        <f t="shared" si="20"/>
        <v>0</v>
      </c>
      <c r="AC38" s="40">
        <f t="shared" si="20"/>
        <v>1</v>
      </c>
      <c r="AD38" s="40">
        <f t="shared" si="20"/>
        <v>1</v>
      </c>
      <c r="AE38" s="40">
        <f t="shared" si="20"/>
        <v>1</v>
      </c>
      <c r="AF38" s="40">
        <f t="shared" si="20"/>
        <v>0</v>
      </c>
    </row>
  </sheetData>
  <mergeCells count="58">
    <mergeCell ref="C15:D15"/>
    <mergeCell ref="C5:D5"/>
    <mergeCell ref="T15:W15"/>
    <mergeCell ref="P9:W9"/>
    <mergeCell ref="X9:Z9"/>
    <mergeCell ref="Q14:W14"/>
    <mergeCell ref="I12:U12"/>
    <mergeCell ref="Q13:V13"/>
    <mergeCell ref="P15:S15"/>
    <mergeCell ref="G9:I9"/>
    <mergeCell ref="G15:K15"/>
    <mergeCell ref="Y15:AB15"/>
    <mergeCell ref="AB10:AF10"/>
    <mergeCell ref="M10:O10"/>
    <mergeCell ref="X14:AB14"/>
    <mergeCell ref="M9:O9"/>
    <mergeCell ref="C3:G4"/>
    <mergeCell ref="C6:G6"/>
    <mergeCell ref="AD11:AF11"/>
    <mergeCell ref="J14:M14"/>
    <mergeCell ref="C11:G11"/>
    <mergeCell ref="U10:W10"/>
    <mergeCell ref="C14:F14"/>
    <mergeCell ref="E12:H12"/>
    <mergeCell ref="Y11:AC11"/>
    <mergeCell ref="T11:X11"/>
    <mergeCell ref="K11:M11"/>
    <mergeCell ref="Y10:Z10"/>
    <mergeCell ref="G14:I14"/>
    <mergeCell ref="H10:J10"/>
    <mergeCell ref="C13:H13"/>
    <mergeCell ref="O8:Q8"/>
    <mergeCell ref="P10:R10"/>
    <mergeCell ref="C8:D8"/>
    <mergeCell ref="H4:K4"/>
    <mergeCell ref="AC3:AF3"/>
    <mergeCell ref="V3:AB3"/>
    <mergeCell ref="N3:Q3"/>
    <mergeCell ref="AE4:AF4"/>
    <mergeCell ref="I3:M3"/>
    <mergeCell ref="T4:V4"/>
    <mergeCell ref="P4:S4"/>
    <mergeCell ref="X4:AA4"/>
    <mergeCell ref="AA9:AD9"/>
    <mergeCell ref="X5:AA5"/>
    <mergeCell ref="X7:Z7"/>
    <mergeCell ref="AC8:AE8"/>
    <mergeCell ref="H6:J6"/>
    <mergeCell ref="H7:M7"/>
    <mergeCell ref="K8:M8"/>
    <mergeCell ref="J5:O5"/>
    <mergeCell ref="V8:AB8"/>
    <mergeCell ref="AA7:AC7"/>
    <mergeCell ref="H8:J8"/>
    <mergeCell ref="V6:AB6"/>
    <mergeCell ref="G5:I5"/>
    <mergeCell ref="P5:U5"/>
    <mergeCell ref="N6:P6"/>
  </mergeCells>
  <conditionalFormatting sqref="C17:AF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51F-5E74-4A05-8118-C61AFBE22E4A}">
  <sheetPr>
    <tabColor theme="4" tint="0.59999389629810485"/>
  </sheetPr>
  <dimension ref="A1:AG38"/>
  <sheetViews>
    <sheetView zoomScale="40" zoomScaleNormal="40" workbookViewId="0">
      <pane xSplit="2" ySplit="2" topLeftCell="C3" activePane="bottomRight" state="frozen"/>
      <selection pane="bottomRight" activeCell="C5" sqref="C5:E5"/>
      <selection pane="bottomLeft" activeCell="I5" sqref="I5"/>
      <selection pane="topRight" activeCell="I5" sqref="I5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3" width="15.2851562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28" t="s">
        <v>5</v>
      </c>
      <c r="D2" s="29" t="s">
        <v>6</v>
      </c>
      <c r="E2" s="28" t="s">
        <v>7</v>
      </c>
      <c r="F2" s="28" t="s">
        <v>8</v>
      </c>
      <c r="G2" s="30" t="s">
        <v>2</v>
      </c>
      <c r="H2" s="31" t="s">
        <v>3</v>
      </c>
      <c r="I2" s="28" t="s">
        <v>4</v>
      </c>
      <c r="J2" s="28" t="s">
        <v>5</v>
      </c>
      <c r="K2" s="29" t="s">
        <v>6</v>
      </c>
      <c r="L2" s="28" t="s">
        <v>7</v>
      </c>
      <c r="M2" s="28" t="s">
        <v>8</v>
      </c>
      <c r="N2" s="30" t="s">
        <v>2</v>
      </c>
      <c r="O2" s="31" t="s">
        <v>3</v>
      </c>
      <c r="P2" s="28" t="s">
        <v>4</v>
      </c>
      <c r="Q2" s="28" t="s">
        <v>5</v>
      </c>
      <c r="R2" s="29" t="s">
        <v>6</v>
      </c>
      <c r="S2" s="28" t="s">
        <v>7</v>
      </c>
      <c r="T2" s="28" t="s">
        <v>8</v>
      </c>
      <c r="U2" s="30" t="s">
        <v>2</v>
      </c>
      <c r="V2" s="31" t="s">
        <v>3</v>
      </c>
      <c r="W2" s="28" t="s">
        <v>4</v>
      </c>
      <c r="X2" s="52" t="s">
        <v>5</v>
      </c>
      <c r="Y2" s="53" t="s">
        <v>6</v>
      </c>
      <c r="Z2" s="52" t="s">
        <v>7</v>
      </c>
      <c r="AA2" s="52" t="s">
        <v>8</v>
      </c>
      <c r="AB2" s="50" t="s">
        <v>2</v>
      </c>
      <c r="AC2" s="51" t="s">
        <v>3</v>
      </c>
      <c r="AD2" s="28" t="s">
        <v>4</v>
      </c>
      <c r="AE2" s="28" t="s">
        <v>5</v>
      </c>
      <c r="AF2" s="29" t="s">
        <v>6</v>
      </c>
      <c r="AG2" s="28" t="s">
        <v>7</v>
      </c>
    </row>
    <row r="3" spans="1:33" ht="85.5" customHeight="1">
      <c r="A3" s="32">
        <v>1</v>
      </c>
      <c r="B3" s="33" t="s">
        <v>9</v>
      </c>
      <c r="C3" s="23">
        <v>1</v>
      </c>
      <c r="D3" s="121"/>
      <c r="E3" s="281" t="s">
        <v>795</v>
      </c>
      <c r="F3" s="282"/>
      <c r="G3" s="282"/>
      <c r="H3" s="282"/>
      <c r="I3" s="297"/>
      <c r="J3" s="23">
        <v>1</v>
      </c>
      <c r="K3" s="23">
        <v>1</v>
      </c>
      <c r="L3" s="23">
        <v>1</v>
      </c>
      <c r="M3" s="23">
        <v>1</v>
      </c>
      <c r="N3" s="23">
        <v>1</v>
      </c>
      <c r="O3" s="23">
        <v>1</v>
      </c>
      <c r="P3" s="417" t="s">
        <v>796</v>
      </c>
      <c r="Q3" s="505"/>
      <c r="R3" s="505"/>
      <c r="S3" s="663"/>
      <c r="T3" s="23">
        <v>1</v>
      </c>
      <c r="U3" s="23">
        <v>1</v>
      </c>
      <c r="V3" s="23">
        <v>1</v>
      </c>
      <c r="W3" s="151"/>
      <c r="X3" s="200" t="s">
        <v>797</v>
      </c>
      <c r="Y3" s="200"/>
      <c r="Z3" s="200"/>
      <c r="AA3" s="200"/>
      <c r="AB3" s="200"/>
      <c r="AC3" s="200"/>
      <c r="AD3" s="108">
        <v>1</v>
      </c>
      <c r="AE3" s="23">
        <v>1</v>
      </c>
      <c r="AF3" s="23">
        <v>1</v>
      </c>
      <c r="AG3" s="192" t="s">
        <v>798</v>
      </c>
    </row>
    <row r="4" spans="1:33" ht="85.5" customHeight="1">
      <c r="A4" s="34">
        <v>2</v>
      </c>
      <c r="B4" s="33" t="s">
        <v>9</v>
      </c>
      <c r="C4" s="215" t="s">
        <v>747</v>
      </c>
      <c r="D4" s="279"/>
      <c r="E4" s="225"/>
      <c r="F4" s="215" t="s">
        <v>799</v>
      </c>
      <c r="G4" s="279"/>
      <c r="H4" s="279"/>
      <c r="I4" s="225"/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1</v>
      </c>
      <c r="P4" s="453"/>
      <c r="Q4" s="332"/>
      <c r="R4" s="332"/>
      <c r="S4" s="333"/>
      <c r="T4" s="667" t="s">
        <v>800</v>
      </c>
      <c r="U4" s="618"/>
      <c r="V4" s="618"/>
      <c r="W4" s="262" t="s">
        <v>801</v>
      </c>
      <c r="X4" s="603"/>
      <c r="Y4" s="603"/>
      <c r="Z4" s="603"/>
      <c r="AA4" s="603"/>
      <c r="AB4" s="603"/>
      <c r="AC4" s="84"/>
      <c r="AD4" s="84"/>
      <c r="AE4" s="84"/>
      <c r="AF4" s="84"/>
      <c r="AG4" s="84"/>
    </row>
    <row r="5" spans="1:33" ht="108" customHeight="1">
      <c r="A5" s="34">
        <v>3</v>
      </c>
      <c r="B5" s="33" t="s">
        <v>29</v>
      </c>
      <c r="C5" s="213" t="s">
        <v>753</v>
      </c>
      <c r="D5" s="214"/>
      <c r="E5" s="227"/>
      <c r="F5" s="281" t="s">
        <v>802</v>
      </c>
      <c r="G5" s="282"/>
      <c r="H5" s="297"/>
      <c r="I5" s="281" t="s">
        <v>803</v>
      </c>
      <c r="J5" s="282"/>
      <c r="K5" s="282"/>
      <c r="L5" s="297"/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23">
        <v>1</v>
      </c>
      <c r="S5" s="23">
        <v>1</v>
      </c>
      <c r="T5" s="215" t="s">
        <v>804</v>
      </c>
      <c r="U5" s="279"/>
      <c r="V5" s="279"/>
      <c r="W5" s="255"/>
      <c r="X5" s="255"/>
      <c r="Y5" s="255"/>
      <c r="Z5" s="298"/>
      <c r="AA5" s="254" t="s">
        <v>805</v>
      </c>
      <c r="AB5" s="255"/>
      <c r="AC5" s="279"/>
      <c r="AD5" s="279"/>
      <c r="AE5" s="279"/>
      <c r="AF5" s="279"/>
      <c r="AG5" s="225"/>
    </row>
    <row r="6" spans="1:33" ht="108" customHeight="1">
      <c r="A6" s="34">
        <v>4</v>
      </c>
      <c r="B6" s="33" t="s">
        <v>37</v>
      </c>
      <c r="C6" s="23">
        <v>1</v>
      </c>
      <c r="D6" s="23">
        <v>1</v>
      </c>
      <c r="E6" s="215" t="s">
        <v>806</v>
      </c>
      <c r="F6" s="279"/>
      <c r="G6" s="279"/>
      <c r="H6" s="279"/>
      <c r="I6" s="225"/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417" t="s">
        <v>796</v>
      </c>
      <c r="Q6" s="505"/>
      <c r="R6" s="505"/>
      <c r="S6" s="663"/>
      <c r="T6" s="667" t="s">
        <v>807</v>
      </c>
      <c r="U6" s="618"/>
      <c r="V6" s="619"/>
      <c r="W6" s="23">
        <v>1</v>
      </c>
      <c r="X6" s="121"/>
      <c r="Y6" s="121"/>
      <c r="Z6" s="121"/>
      <c r="AA6" s="121"/>
      <c r="AB6" s="121"/>
      <c r="AC6" s="121"/>
      <c r="AD6" s="23">
        <v>1</v>
      </c>
      <c r="AE6" s="23">
        <v>1</v>
      </c>
      <c r="AF6" s="215" t="s">
        <v>808</v>
      </c>
      <c r="AG6" s="225"/>
    </row>
    <row r="7" spans="1:33" ht="85.5" customHeight="1">
      <c r="A7" s="34">
        <v>5</v>
      </c>
      <c r="B7" s="33" t="s">
        <v>37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453"/>
      <c r="Q7" s="332"/>
      <c r="R7" s="332"/>
      <c r="S7" s="333"/>
      <c r="T7" s="84"/>
      <c r="U7" s="84"/>
      <c r="V7" s="84"/>
      <c r="W7" s="84"/>
      <c r="X7" s="23">
        <v>1</v>
      </c>
      <c r="Y7" s="23">
        <v>1</v>
      </c>
      <c r="Z7" s="23">
        <v>1</v>
      </c>
      <c r="AA7" s="23">
        <v>1</v>
      </c>
      <c r="AB7" s="417" t="s">
        <v>809</v>
      </c>
      <c r="AC7" s="505"/>
      <c r="AD7" s="505"/>
      <c r="AE7" s="505"/>
      <c r="AF7" s="318"/>
      <c r="AG7" s="319"/>
    </row>
    <row r="8" spans="1:33" ht="103.35" customHeight="1">
      <c r="A8" s="34">
        <v>6</v>
      </c>
      <c r="B8" s="33" t="s">
        <v>9</v>
      </c>
      <c r="C8" s="281" t="s">
        <v>766</v>
      </c>
      <c r="D8" s="282"/>
      <c r="E8" s="297"/>
      <c r="F8" s="23">
        <v>1</v>
      </c>
      <c r="G8" s="215" t="s">
        <v>810</v>
      </c>
      <c r="H8" s="279"/>
      <c r="I8" s="225"/>
      <c r="J8" s="23">
        <v>1</v>
      </c>
      <c r="K8" s="23">
        <v>1</v>
      </c>
      <c r="L8" s="215" t="s">
        <v>811</v>
      </c>
      <c r="M8" s="279"/>
      <c r="N8" s="279"/>
      <c r="O8" s="279"/>
      <c r="P8" s="225"/>
      <c r="Q8" s="23">
        <v>1</v>
      </c>
      <c r="R8" s="23">
        <v>1</v>
      </c>
      <c r="S8" s="23">
        <v>1</v>
      </c>
      <c r="T8" s="215" t="s">
        <v>812</v>
      </c>
      <c r="U8" s="279"/>
      <c r="V8" s="279"/>
      <c r="W8" s="279"/>
      <c r="X8" s="225"/>
      <c r="Y8" s="23">
        <v>1</v>
      </c>
      <c r="Z8" s="23">
        <v>1</v>
      </c>
      <c r="AA8" s="23">
        <v>1</v>
      </c>
      <c r="AB8" s="84"/>
      <c r="AC8" s="207" t="s">
        <v>813</v>
      </c>
      <c r="AD8" s="271"/>
      <c r="AE8" s="272"/>
      <c r="AF8" s="587" t="s">
        <v>814</v>
      </c>
      <c r="AG8" s="295"/>
    </row>
    <row r="9" spans="1:33" ht="112.5" customHeight="1">
      <c r="A9" s="34">
        <v>7</v>
      </c>
      <c r="B9" s="33" t="s">
        <v>9</v>
      </c>
      <c r="C9" s="23">
        <v>1</v>
      </c>
      <c r="D9" s="23">
        <v>1</v>
      </c>
      <c r="E9" s="23">
        <v>1</v>
      </c>
      <c r="F9" s="23">
        <v>1</v>
      </c>
      <c r="G9" s="281" t="s">
        <v>815</v>
      </c>
      <c r="H9" s="282"/>
      <c r="I9" s="282"/>
      <c r="J9" s="282"/>
      <c r="K9" s="297"/>
      <c r="L9" s="23">
        <v>1</v>
      </c>
      <c r="M9" s="23">
        <v>1</v>
      </c>
      <c r="N9" s="23">
        <v>1</v>
      </c>
      <c r="O9" s="215" t="s">
        <v>816</v>
      </c>
      <c r="P9" s="279"/>
      <c r="Q9" s="225"/>
      <c r="R9" s="23">
        <v>1</v>
      </c>
      <c r="S9" s="215" t="s">
        <v>817</v>
      </c>
      <c r="T9" s="279"/>
      <c r="U9" s="279"/>
      <c r="V9" s="225"/>
      <c r="W9" s="215" t="s">
        <v>818</v>
      </c>
      <c r="X9" s="279"/>
      <c r="Y9" s="255"/>
      <c r="Z9" s="255"/>
      <c r="AA9" s="298"/>
      <c r="AB9" s="277" t="s">
        <v>819</v>
      </c>
      <c r="AC9" s="202"/>
      <c r="AD9" s="203"/>
      <c r="AE9" s="47">
        <v>1</v>
      </c>
      <c r="AF9" s="23">
        <v>1</v>
      </c>
      <c r="AG9" s="192" t="s">
        <v>798</v>
      </c>
    </row>
    <row r="10" spans="1:33" ht="85.5" customHeight="1">
      <c r="A10" s="34">
        <v>8</v>
      </c>
      <c r="B10" s="33" t="s">
        <v>9</v>
      </c>
      <c r="C10" s="215" t="s">
        <v>777</v>
      </c>
      <c r="D10" s="279"/>
      <c r="E10" s="279"/>
      <c r="F10" s="279"/>
      <c r="G10" s="279"/>
      <c r="H10" s="225"/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1</v>
      </c>
      <c r="O10" s="23">
        <v>1</v>
      </c>
      <c r="P10" s="215" t="s">
        <v>820</v>
      </c>
      <c r="Q10" s="279"/>
      <c r="R10" s="225"/>
      <c r="S10" s="23">
        <v>1</v>
      </c>
      <c r="T10" s="215" t="s">
        <v>821</v>
      </c>
      <c r="U10" s="279"/>
      <c r="V10" s="279"/>
      <c r="W10" s="225"/>
      <c r="X10" s="23">
        <v>1</v>
      </c>
      <c r="Y10" s="23">
        <v>1</v>
      </c>
      <c r="Z10" s="23">
        <v>1</v>
      </c>
      <c r="AA10" s="281" t="s">
        <v>822</v>
      </c>
      <c r="AB10" s="282"/>
      <c r="AC10" s="282"/>
      <c r="AD10" s="282"/>
      <c r="AE10" s="297"/>
      <c r="AF10" s="215" t="s">
        <v>823</v>
      </c>
      <c r="AG10" s="225"/>
    </row>
    <row r="11" spans="1:33" ht="85.5" customHeight="1">
      <c r="A11" s="34">
        <v>9</v>
      </c>
      <c r="B11" s="35" t="s">
        <v>29</v>
      </c>
      <c r="C11" s="23">
        <v>1</v>
      </c>
      <c r="D11" s="23">
        <v>1</v>
      </c>
      <c r="E11" s="23">
        <v>1</v>
      </c>
      <c r="F11" s="281" t="s">
        <v>802</v>
      </c>
      <c r="G11" s="282"/>
      <c r="H11" s="297"/>
      <c r="I11" s="23">
        <v>1</v>
      </c>
      <c r="J11" s="281" t="s">
        <v>824</v>
      </c>
      <c r="K11" s="282"/>
      <c r="L11" s="282"/>
      <c r="M11" s="297"/>
      <c r="N11" s="213" t="s">
        <v>825</v>
      </c>
      <c r="O11" s="214"/>
      <c r="P11" s="214"/>
      <c r="Q11" s="214"/>
      <c r="R11" s="214"/>
      <c r="S11" s="227"/>
      <c r="T11" s="23">
        <v>1</v>
      </c>
      <c r="U11" s="23">
        <v>1</v>
      </c>
      <c r="V11" s="23">
        <v>1</v>
      </c>
      <c r="W11" s="23">
        <v>1</v>
      </c>
      <c r="X11" s="218" t="s">
        <v>826</v>
      </c>
      <c r="Y11" s="216"/>
      <c r="Z11" s="216"/>
      <c r="AA11" s="216"/>
      <c r="AB11" s="216"/>
      <c r="AC11" s="216"/>
      <c r="AD11" s="216"/>
      <c r="AE11" s="217"/>
      <c r="AF11" s="215" t="s">
        <v>827</v>
      </c>
      <c r="AG11" s="225"/>
    </row>
    <row r="12" spans="1:33" ht="85.5" customHeight="1">
      <c r="A12" s="34">
        <v>10</v>
      </c>
      <c r="B12" s="33" t="s">
        <v>37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54"/>
      <c r="Y12" s="255"/>
      <c r="Z12" s="255"/>
      <c r="AA12" s="255"/>
      <c r="AB12" s="255"/>
      <c r="AC12" s="255"/>
      <c r="AD12" s="255"/>
      <c r="AE12" s="298"/>
      <c r="AF12" s="23">
        <v>1</v>
      </c>
      <c r="AG12" s="23">
        <v>1</v>
      </c>
    </row>
    <row r="13" spans="1:33" ht="85.5" customHeight="1">
      <c r="A13" s="34">
        <v>11</v>
      </c>
      <c r="B13" s="33" t="s">
        <v>37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46">
        <v>1</v>
      </c>
      <c r="AD13" s="46">
        <v>1</v>
      </c>
      <c r="AE13" s="46">
        <v>1</v>
      </c>
      <c r="AF13" s="46">
        <v>1</v>
      </c>
      <c r="AG13" s="46">
        <v>1</v>
      </c>
    </row>
    <row r="14" spans="1:33" ht="85.5" customHeight="1">
      <c r="A14" s="34">
        <v>12</v>
      </c>
      <c r="B14" s="33" t="s">
        <v>9</v>
      </c>
      <c r="C14" s="664" t="s">
        <v>789</v>
      </c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665"/>
      <c r="O14" s="665"/>
      <c r="P14" s="665"/>
      <c r="Q14" s="665"/>
      <c r="R14" s="665"/>
      <c r="S14" s="665"/>
      <c r="T14" s="666"/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65">
        <v>1</v>
      </c>
      <c r="AC14" s="121"/>
      <c r="AD14" s="587" t="s">
        <v>721</v>
      </c>
      <c r="AE14" s="294"/>
      <c r="AF14" s="294"/>
      <c r="AG14" s="295"/>
    </row>
    <row r="15" spans="1:33" ht="85.5" customHeight="1">
      <c r="A15" s="34" t="s">
        <v>111</v>
      </c>
      <c r="B15" s="33" t="s">
        <v>112</v>
      </c>
      <c r="C15" s="281" t="s">
        <v>828</v>
      </c>
      <c r="D15" s="282"/>
      <c r="E15" s="297"/>
      <c r="F15" s="23">
        <v>1</v>
      </c>
      <c r="G15" s="215" t="s">
        <v>829</v>
      </c>
      <c r="H15" s="279"/>
      <c r="I15" s="279"/>
      <c r="J15" s="279"/>
      <c r="K15" s="279"/>
      <c r="L15" s="279"/>
      <c r="M15" s="225"/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15" t="s">
        <v>830</v>
      </c>
      <c r="T15" s="279"/>
      <c r="U15" s="279"/>
      <c r="V15" s="279"/>
      <c r="W15" s="279"/>
      <c r="X15" s="279"/>
      <c r="Y15" s="225"/>
      <c r="Z15" s="23">
        <v>1</v>
      </c>
      <c r="AA15" s="23">
        <v>1</v>
      </c>
      <c r="AB15" s="23">
        <v>1</v>
      </c>
      <c r="AC15" s="277" t="s">
        <v>831</v>
      </c>
      <c r="AD15" s="202"/>
      <c r="AE15" s="202"/>
      <c r="AF15" s="202"/>
      <c r="AG15" s="203"/>
    </row>
    <row r="16" spans="1:33" ht="84.95" customHeight="1">
      <c r="A16" s="36"/>
      <c r="B16" s="37"/>
      <c r="C16" s="38">
        <f>(30*13-SUM(C17:AF20))/(30*13)</f>
        <v>0.5871794871794872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 ht="85.5" customHeight="1">
      <c r="A17" s="2"/>
      <c r="B17" s="3" t="s">
        <v>121</v>
      </c>
      <c r="C17" s="2">
        <f t="shared" ref="C17:AF17" si="0">C28+C34</f>
        <v>1</v>
      </c>
      <c r="D17" s="2">
        <f t="shared" si="0"/>
        <v>1</v>
      </c>
      <c r="E17" s="4">
        <f t="shared" si="0"/>
        <v>1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1</v>
      </c>
      <c r="J17" s="4">
        <f t="shared" si="0"/>
        <v>0</v>
      </c>
      <c r="K17" s="4">
        <f t="shared" si="0"/>
        <v>0</v>
      </c>
      <c r="L17" s="4">
        <f t="shared" si="0"/>
        <v>0</v>
      </c>
      <c r="M17" s="4">
        <f t="shared" si="0"/>
        <v>1</v>
      </c>
      <c r="N17" s="4">
        <f t="shared" si="0"/>
        <v>1</v>
      </c>
      <c r="O17" s="4">
        <f t="shared" si="0"/>
        <v>1</v>
      </c>
      <c r="P17" s="4">
        <f t="shared" si="0"/>
        <v>1</v>
      </c>
      <c r="Q17" s="4">
        <f t="shared" si="0"/>
        <v>1</v>
      </c>
      <c r="R17" s="4">
        <f t="shared" si="0"/>
        <v>1</v>
      </c>
      <c r="S17" s="4">
        <f t="shared" si="0"/>
        <v>1</v>
      </c>
      <c r="T17" s="4">
        <f t="shared" si="0"/>
        <v>1</v>
      </c>
      <c r="U17" s="4">
        <f t="shared" si="0"/>
        <v>1</v>
      </c>
      <c r="V17" s="4">
        <f t="shared" si="0"/>
        <v>1</v>
      </c>
      <c r="W17" s="4">
        <f t="shared" si="0"/>
        <v>1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ref="AG17" si="1">AG28+AG34</f>
        <v>0</v>
      </c>
    </row>
    <row r="18" spans="1:33" ht="85.5" customHeight="1">
      <c r="A18" s="2"/>
      <c r="B18" s="3" t="s">
        <v>122</v>
      </c>
      <c r="C18" s="2">
        <f t="shared" ref="C18:AF18" si="2">C26+C27+C31+C32+C33+C37</f>
        <v>2</v>
      </c>
      <c r="D18" s="2">
        <f t="shared" si="2"/>
        <v>1</v>
      </c>
      <c r="E18" s="4">
        <f t="shared" si="2"/>
        <v>1</v>
      </c>
      <c r="F18" s="4">
        <f t="shared" si="2"/>
        <v>2</v>
      </c>
      <c r="G18" s="4">
        <f t="shared" si="2"/>
        <v>0</v>
      </c>
      <c r="H18" s="4">
        <f t="shared" si="2"/>
        <v>0</v>
      </c>
      <c r="I18" s="4">
        <f t="shared" si="2"/>
        <v>1</v>
      </c>
      <c r="J18" s="4">
        <f t="shared" si="2"/>
        <v>4</v>
      </c>
      <c r="K18" s="4">
        <f t="shared" si="2"/>
        <v>4</v>
      </c>
      <c r="L18" s="4">
        <f t="shared" si="2"/>
        <v>4</v>
      </c>
      <c r="M18" s="4">
        <f t="shared" si="2"/>
        <v>4</v>
      </c>
      <c r="N18" s="4">
        <f t="shared" si="2"/>
        <v>4</v>
      </c>
      <c r="O18" s="4">
        <f t="shared" si="2"/>
        <v>3</v>
      </c>
      <c r="P18" s="4">
        <f t="shared" si="2"/>
        <v>0</v>
      </c>
      <c r="Q18" s="4">
        <f t="shared" si="2"/>
        <v>1</v>
      </c>
      <c r="R18" s="4">
        <f t="shared" si="2"/>
        <v>2</v>
      </c>
      <c r="S18" s="4">
        <f t="shared" si="2"/>
        <v>2</v>
      </c>
      <c r="T18" s="4">
        <f t="shared" si="2"/>
        <v>1</v>
      </c>
      <c r="U18" s="4">
        <f t="shared" si="2"/>
        <v>2</v>
      </c>
      <c r="V18" s="4">
        <f t="shared" si="2"/>
        <v>2</v>
      </c>
      <c r="W18" s="4">
        <f t="shared" si="2"/>
        <v>1</v>
      </c>
      <c r="X18" s="4">
        <f t="shared" si="2"/>
        <v>2</v>
      </c>
      <c r="Y18" s="4">
        <f t="shared" si="2"/>
        <v>3</v>
      </c>
      <c r="Z18" s="4">
        <f t="shared" si="2"/>
        <v>3</v>
      </c>
      <c r="AA18" s="4">
        <f t="shared" si="2"/>
        <v>2</v>
      </c>
      <c r="AB18" s="4">
        <f t="shared" si="2"/>
        <v>1</v>
      </c>
      <c r="AC18" s="4">
        <f t="shared" si="2"/>
        <v>0</v>
      </c>
      <c r="AD18" s="4">
        <f t="shared" si="2"/>
        <v>1</v>
      </c>
      <c r="AE18" s="4">
        <f t="shared" si="2"/>
        <v>2</v>
      </c>
      <c r="AF18" s="4">
        <f t="shared" si="2"/>
        <v>2</v>
      </c>
      <c r="AG18" s="4">
        <f t="shared" ref="AG18" si="3">AG26+AG27+AG31+AG32+AG33+AG37</f>
        <v>0</v>
      </c>
    </row>
    <row r="19" spans="1:33" ht="85.5" customHeight="1">
      <c r="A19" s="2"/>
      <c r="B19" s="3" t="s">
        <v>123</v>
      </c>
      <c r="C19" s="2">
        <f t="shared" ref="C19:AF19" si="4">C29+C30+C35+C36</f>
        <v>4</v>
      </c>
      <c r="D19" s="2">
        <f t="shared" si="4"/>
        <v>4</v>
      </c>
      <c r="E19" s="4">
        <f t="shared" si="4"/>
        <v>3</v>
      </c>
      <c r="F19" s="4">
        <f t="shared" si="4"/>
        <v>3</v>
      </c>
      <c r="G19" s="4">
        <f t="shared" si="4"/>
        <v>3</v>
      </c>
      <c r="H19" s="4">
        <f t="shared" si="4"/>
        <v>3</v>
      </c>
      <c r="I19" s="4">
        <f t="shared" si="4"/>
        <v>3</v>
      </c>
      <c r="J19" s="4">
        <f t="shared" si="4"/>
        <v>4</v>
      </c>
      <c r="K19" s="4">
        <f t="shared" si="4"/>
        <v>4</v>
      </c>
      <c r="L19" s="4">
        <f t="shared" si="4"/>
        <v>4</v>
      </c>
      <c r="M19" s="4">
        <f t="shared" si="4"/>
        <v>4</v>
      </c>
      <c r="N19" s="4">
        <f t="shared" si="4"/>
        <v>4</v>
      </c>
      <c r="O19" s="4">
        <f t="shared" si="4"/>
        <v>4</v>
      </c>
      <c r="P19" s="4">
        <f t="shared" si="4"/>
        <v>2</v>
      </c>
      <c r="Q19" s="4">
        <f t="shared" si="4"/>
        <v>2</v>
      </c>
      <c r="R19" s="4">
        <f t="shared" si="4"/>
        <v>2</v>
      </c>
      <c r="S19" s="4">
        <f t="shared" si="4"/>
        <v>2</v>
      </c>
      <c r="T19" s="4">
        <f t="shared" si="4"/>
        <v>2</v>
      </c>
      <c r="U19" s="4">
        <f t="shared" si="4"/>
        <v>2</v>
      </c>
      <c r="V19" s="4">
        <f t="shared" si="4"/>
        <v>2</v>
      </c>
      <c r="W19" s="4">
        <f t="shared" si="4"/>
        <v>3</v>
      </c>
      <c r="X19" s="4">
        <f t="shared" si="4"/>
        <v>2</v>
      </c>
      <c r="Y19" s="4">
        <f t="shared" si="4"/>
        <v>2</v>
      </c>
      <c r="Z19" s="4">
        <f t="shared" si="4"/>
        <v>2</v>
      </c>
      <c r="AA19" s="4">
        <f t="shared" si="4"/>
        <v>2</v>
      </c>
      <c r="AB19" s="4">
        <f t="shared" si="4"/>
        <v>1</v>
      </c>
      <c r="AC19" s="4">
        <f t="shared" si="4"/>
        <v>1</v>
      </c>
      <c r="AD19" s="4">
        <f t="shared" si="4"/>
        <v>2</v>
      </c>
      <c r="AE19" s="4">
        <f t="shared" si="4"/>
        <v>2</v>
      </c>
      <c r="AF19" s="4">
        <f t="shared" si="4"/>
        <v>2</v>
      </c>
      <c r="AG19" s="4">
        <f t="shared" ref="AG19" si="5">AG29+AG30+AG35+AG36</f>
        <v>2</v>
      </c>
    </row>
    <row r="20" spans="1:33" ht="85.5" customHeight="1">
      <c r="A20" s="2"/>
      <c r="B20" s="3" t="s">
        <v>124</v>
      </c>
      <c r="C20" s="2">
        <f t="shared" ref="C20:AF20" si="6">C38</f>
        <v>0</v>
      </c>
      <c r="D20" s="2">
        <f t="shared" si="6"/>
        <v>0</v>
      </c>
      <c r="E20" s="4">
        <f t="shared" si="6"/>
        <v>0</v>
      </c>
      <c r="F20" s="4">
        <f t="shared" si="6"/>
        <v>1</v>
      </c>
      <c r="G20" s="4">
        <f t="shared" si="6"/>
        <v>0</v>
      </c>
      <c r="H20" s="4">
        <f t="shared" si="6"/>
        <v>0</v>
      </c>
      <c r="I20" s="4">
        <f t="shared" si="6"/>
        <v>0</v>
      </c>
      <c r="J20" s="4">
        <f t="shared" si="6"/>
        <v>0</v>
      </c>
      <c r="K20" s="4">
        <f t="shared" si="6"/>
        <v>0</v>
      </c>
      <c r="L20" s="4">
        <f t="shared" si="6"/>
        <v>0</v>
      </c>
      <c r="M20" s="4">
        <f t="shared" si="6"/>
        <v>0</v>
      </c>
      <c r="N20" s="4">
        <f t="shared" si="6"/>
        <v>1</v>
      </c>
      <c r="O20" s="4">
        <f t="shared" si="6"/>
        <v>1</v>
      </c>
      <c r="P20" s="4">
        <f t="shared" si="6"/>
        <v>1</v>
      </c>
      <c r="Q20" s="4">
        <f t="shared" si="6"/>
        <v>1</v>
      </c>
      <c r="R20" s="4">
        <f t="shared" si="6"/>
        <v>1</v>
      </c>
      <c r="S20" s="4">
        <f t="shared" si="6"/>
        <v>0</v>
      </c>
      <c r="T20" s="4">
        <f t="shared" si="6"/>
        <v>0</v>
      </c>
      <c r="U20" s="4">
        <f t="shared" si="6"/>
        <v>0</v>
      </c>
      <c r="V20" s="4">
        <f t="shared" si="6"/>
        <v>0</v>
      </c>
      <c r="W20" s="4">
        <f t="shared" si="6"/>
        <v>0</v>
      </c>
      <c r="X20" s="4">
        <f t="shared" si="6"/>
        <v>0</v>
      </c>
      <c r="Y20" s="4">
        <f t="shared" si="6"/>
        <v>0</v>
      </c>
      <c r="Z20" s="4">
        <f t="shared" si="6"/>
        <v>1</v>
      </c>
      <c r="AA20" s="4">
        <f t="shared" si="6"/>
        <v>1</v>
      </c>
      <c r="AB20" s="4">
        <f t="shared" si="6"/>
        <v>1</v>
      </c>
      <c r="AC20" s="4">
        <f t="shared" si="6"/>
        <v>0</v>
      </c>
      <c r="AD20" s="4">
        <f t="shared" si="6"/>
        <v>0</v>
      </c>
      <c r="AE20" s="4">
        <f t="shared" si="6"/>
        <v>0</v>
      </c>
      <c r="AF20" s="4">
        <f t="shared" si="6"/>
        <v>0</v>
      </c>
      <c r="AG20" s="4">
        <f t="shared" ref="AG20" si="7">AG38</f>
        <v>0</v>
      </c>
    </row>
    <row r="21" spans="1:33" ht="85.5" customHeight="1">
      <c r="C21" s="41">
        <f t="shared" ref="C21:AF21" si="8">SUM(C17:C20)</f>
        <v>7</v>
      </c>
      <c r="D21" s="41">
        <f t="shared" si="8"/>
        <v>6</v>
      </c>
      <c r="E21" s="41">
        <f t="shared" si="8"/>
        <v>5</v>
      </c>
      <c r="F21" s="41">
        <f t="shared" si="8"/>
        <v>6</v>
      </c>
      <c r="G21" s="41">
        <f t="shared" si="8"/>
        <v>3</v>
      </c>
      <c r="H21" s="41">
        <f t="shared" si="8"/>
        <v>3</v>
      </c>
      <c r="I21" s="41">
        <f t="shared" si="8"/>
        <v>5</v>
      </c>
      <c r="J21" s="41">
        <f t="shared" si="8"/>
        <v>8</v>
      </c>
      <c r="K21" s="41">
        <f t="shared" si="8"/>
        <v>8</v>
      </c>
      <c r="L21" s="41">
        <f t="shared" si="8"/>
        <v>8</v>
      </c>
      <c r="M21" s="41">
        <f t="shared" si="8"/>
        <v>9</v>
      </c>
      <c r="N21" s="41">
        <f t="shared" si="8"/>
        <v>10</v>
      </c>
      <c r="O21" s="41">
        <f t="shared" si="8"/>
        <v>9</v>
      </c>
      <c r="P21" s="41">
        <f t="shared" si="8"/>
        <v>4</v>
      </c>
      <c r="Q21" s="41">
        <f t="shared" si="8"/>
        <v>5</v>
      </c>
      <c r="R21" s="41">
        <f t="shared" si="8"/>
        <v>6</v>
      </c>
      <c r="S21" s="41">
        <f t="shared" si="8"/>
        <v>5</v>
      </c>
      <c r="T21" s="41">
        <f t="shared" si="8"/>
        <v>4</v>
      </c>
      <c r="U21" s="41">
        <f t="shared" si="8"/>
        <v>5</v>
      </c>
      <c r="V21" s="41">
        <f t="shared" si="8"/>
        <v>5</v>
      </c>
      <c r="W21" s="41">
        <f t="shared" si="8"/>
        <v>5</v>
      </c>
      <c r="X21" s="41">
        <f t="shared" si="8"/>
        <v>4</v>
      </c>
      <c r="Y21" s="41">
        <f t="shared" si="8"/>
        <v>5</v>
      </c>
      <c r="Z21" s="41">
        <f t="shared" si="8"/>
        <v>6</v>
      </c>
      <c r="AA21" s="41">
        <f t="shared" si="8"/>
        <v>5</v>
      </c>
      <c r="AB21" s="41">
        <f t="shared" si="8"/>
        <v>3</v>
      </c>
      <c r="AC21" s="41">
        <f t="shared" si="8"/>
        <v>1</v>
      </c>
      <c r="AD21" s="41">
        <f t="shared" si="8"/>
        <v>3</v>
      </c>
      <c r="AE21" s="41">
        <f t="shared" si="8"/>
        <v>4</v>
      </c>
      <c r="AF21" s="41">
        <f t="shared" si="8"/>
        <v>4</v>
      </c>
      <c r="AG21" s="41">
        <f t="shared" ref="AG21" si="9">SUM(AG17:AG20)</f>
        <v>2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AF34" si="10">IF(C3=1,1,0)</f>
        <v>1</v>
      </c>
      <c r="D26" s="40">
        <f t="shared" si="10"/>
        <v>0</v>
      </c>
      <c r="E26" s="40">
        <f t="shared" si="10"/>
        <v>0</v>
      </c>
      <c r="F26" s="40">
        <f t="shared" si="10"/>
        <v>0</v>
      </c>
      <c r="G26" s="40">
        <f t="shared" si="10"/>
        <v>0</v>
      </c>
      <c r="H26" s="40">
        <f t="shared" si="10"/>
        <v>0</v>
      </c>
      <c r="I26" s="40">
        <f t="shared" si="10"/>
        <v>0</v>
      </c>
      <c r="J26" s="40">
        <f t="shared" si="10"/>
        <v>1</v>
      </c>
      <c r="K26" s="40">
        <f t="shared" si="10"/>
        <v>1</v>
      </c>
      <c r="L26" s="40">
        <f t="shared" si="10"/>
        <v>1</v>
      </c>
      <c r="M26" s="40">
        <f t="shared" si="10"/>
        <v>1</v>
      </c>
      <c r="N26" s="40">
        <f t="shared" si="10"/>
        <v>1</v>
      </c>
      <c r="O26" s="40">
        <f t="shared" si="10"/>
        <v>1</v>
      </c>
      <c r="P26" s="40">
        <f t="shared" si="10"/>
        <v>0</v>
      </c>
      <c r="Q26" s="40">
        <f t="shared" si="10"/>
        <v>0</v>
      </c>
      <c r="R26" s="40">
        <f t="shared" si="10"/>
        <v>0</v>
      </c>
      <c r="S26" s="40">
        <f t="shared" si="10"/>
        <v>0</v>
      </c>
      <c r="T26" s="40">
        <f t="shared" si="10"/>
        <v>1</v>
      </c>
      <c r="U26" s="40">
        <f t="shared" si="10"/>
        <v>1</v>
      </c>
      <c r="V26" s="40">
        <f t="shared" si="10"/>
        <v>1</v>
      </c>
      <c r="W26" s="40">
        <f t="shared" si="10"/>
        <v>0</v>
      </c>
      <c r="X26" s="40">
        <f t="shared" ref="X26" si="11">IF(X3=1,1,0)</f>
        <v>0</v>
      </c>
      <c r="Y26" s="40">
        <f t="shared" si="10"/>
        <v>0</v>
      </c>
      <c r="Z26" s="40">
        <f>IF(X3=1,1,0)</f>
        <v>0</v>
      </c>
      <c r="AA26" s="40">
        <f t="shared" si="10"/>
        <v>0</v>
      </c>
      <c r="AB26" s="40">
        <f t="shared" si="10"/>
        <v>0</v>
      </c>
      <c r="AC26" s="40">
        <f t="shared" si="10"/>
        <v>0</v>
      </c>
      <c r="AD26" s="40">
        <f t="shared" si="10"/>
        <v>1</v>
      </c>
      <c r="AE26" s="40">
        <f t="shared" si="10"/>
        <v>1</v>
      </c>
      <c r="AF26" s="40">
        <f t="shared" si="10"/>
        <v>1</v>
      </c>
      <c r="AG26" s="40">
        <f t="shared" ref="AG26:AG33" si="12">IF(AG3=1,1,0)</f>
        <v>0</v>
      </c>
    </row>
    <row r="27" spans="1:33" ht="42" customHeight="1">
      <c r="B27" s="42">
        <v>2</v>
      </c>
      <c r="C27" s="40">
        <f t="shared" si="10"/>
        <v>0</v>
      </c>
      <c r="D27" s="40">
        <f t="shared" si="10"/>
        <v>0</v>
      </c>
      <c r="E27" s="40">
        <f t="shared" si="10"/>
        <v>0</v>
      </c>
      <c r="F27" s="40">
        <f t="shared" si="10"/>
        <v>0</v>
      </c>
      <c r="G27" s="40">
        <f t="shared" si="10"/>
        <v>0</v>
      </c>
      <c r="H27" s="40">
        <f t="shared" si="10"/>
        <v>0</v>
      </c>
      <c r="I27" s="40">
        <f t="shared" si="10"/>
        <v>0</v>
      </c>
      <c r="J27" s="40">
        <f t="shared" si="10"/>
        <v>1</v>
      </c>
      <c r="K27" s="40">
        <f t="shared" si="10"/>
        <v>1</v>
      </c>
      <c r="L27" s="40">
        <f t="shared" si="10"/>
        <v>1</v>
      </c>
      <c r="M27" s="40">
        <f t="shared" si="10"/>
        <v>1</v>
      </c>
      <c r="N27" s="40">
        <f t="shared" si="10"/>
        <v>1</v>
      </c>
      <c r="O27" s="40">
        <f t="shared" si="10"/>
        <v>1</v>
      </c>
      <c r="P27" s="40">
        <f t="shared" si="10"/>
        <v>0</v>
      </c>
      <c r="Q27" s="40">
        <f t="shared" si="10"/>
        <v>0</v>
      </c>
      <c r="R27" s="40">
        <f t="shared" si="10"/>
        <v>0</v>
      </c>
      <c r="S27" s="40">
        <f t="shared" si="10"/>
        <v>0</v>
      </c>
      <c r="T27" s="40">
        <f t="shared" si="10"/>
        <v>0</v>
      </c>
      <c r="U27" s="40">
        <f t="shared" si="10"/>
        <v>0</v>
      </c>
      <c r="V27" s="40">
        <f t="shared" si="10"/>
        <v>0</v>
      </c>
      <c r="W27" s="40">
        <f t="shared" si="10"/>
        <v>0</v>
      </c>
      <c r="X27" s="40">
        <f t="shared" ref="X27" si="13">IF(X4=1,1,0)</f>
        <v>0</v>
      </c>
      <c r="Y27" s="40">
        <f t="shared" si="10"/>
        <v>0</v>
      </c>
      <c r="Z27" s="40">
        <f t="shared" si="10"/>
        <v>0</v>
      </c>
      <c r="AA27" s="40">
        <f t="shared" si="10"/>
        <v>0</v>
      </c>
      <c r="AB27" s="40">
        <f t="shared" si="10"/>
        <v>0</v>
      </c>
      <c r="AC27" s="40">
        <f t="shared" si="10"/>
        <v>0</v>
      </c>
      <c r="AD27" s="40">
        <f t="shared" si="10"/>
        <v>0</v>
      </c>
      <c r="AE27" s="40">
        <f t="shared" si="10"/>
        <v>0</v>
      </c>
      <c r="AF27" s="40">
        <f t="shared" si="10"/>
        <v>0</v>
      </c>
      <c r="AG27" s="40">
        <f t="shared" si="12"/>
        <v>0</v>
      </c>
    </row>
    <row r="28" spans="1:33" ht="42" customHeight="1">
      <c r="B28" s="43">
        <v>3</v>
      </c>
      <c r="C28" s="40">
        <f t="shared" si="10"/>
        <v>0</v>
      </c>
      <c r="D28" s="40">
        <f t="shared" si="10"/>
        <v>0</v>
      </c>
      <c r="E28" s="40">
        <f t="shared" si="10"/>
        <v>0</v>
      </c>
      <c r="F28" s="40">
        <f t="shared" si="10"/>
        <v>0</v>
      </c>
      <c r="G28" s="40">
        <f t="shared" si="10"/>
        <v>0</v>
      </c>
      <c r="H28" s="40">
        <f t="shared" si="10"/>
        <v>0</v>
      </c>
      <c r="I28" s="40">
        <f t="shared" si="10"/>
        <v>0</v>
      </c>
      <c r="J28" s="40">
        <f t="shared" si="10"/>
        <v>0</v>
      </c>
      <c r="K28" s="40">
        <f t="shared" si="10"/>
        <v>0</v>
      </c>
      <c r="L28" s="40">
        <f t="shared" si="10"/>
        <v>0</v>
      </c>
      <c r="M28" s="40">
        <f t="shared" si="10"/>
        <v>1</v>
      </c>
      <c r="N28" s="40">
        <f t="shared" si="10"/>
        <v>1</v>
      </c>
      <c r="O28" s="40">
        <f t="shared" si="10"/>
        <v>1</v>
      </c>
      <c r="P28" s="40">
        <f t="shared" si="10"/>
        <v>1</v>
      </c>
      <c r="Q28" s="40">
        <f t="shared" si="10"/>
        <v>1</v>
      </c>
      <c r="R28" s="40">
        <f t="shared" si="10"/>
        <v>1</v>
      </c>
      <c r="S28" s="40">
        <f t="shared" si="10"/>
        <v>1</v>
      </c>
      <c r="T28" s="40">
        <f t="shared" si="10"/>
        <v>0</v>
      </c>
      <c r="U28" s="40">
        <f t="shared" si="10"/>
        <v>0</v>
      </c>
      <c r="V28" s="40">
        <f t="shared" si="10"/>
        <v>0</v>
      </c>
      <c r="W28" s="40">
        <f t="shared" si="10"/>
        <v>0</v>
      </c>
      <c r="X28" s="40">
        <f t="shared" si="10"/>
        <v>0</v>
      </c>
      <c r="Y28" s="40">
        <f t="shared" si="10"/>
        <v>0</v>
      </c>
      <c r="Z28" s="40">
        <f t="shared" si="10"/>
        <v>0</v>
      </c>
      <c r="AA28" s="40">
        <f t="shared" si="10"/>
        <v>0</v>
      </c>
      <c r="AB28" s="40">
        <f t="shared" si="10"/>
        <v>0</v>
      </c>
      <c r="AC28" s="40">
        <f t="shared" si="10"/>
        <v>0</v>
      </c>
      <c r="AD28" s="40">
        <f t="shared" si="10"/>
        <v>0</v>
      </c>
      <c r="AE28" s="40">
        <f t="shared" si="10"/>
        <v>0</v>
      </c>
      <c r="AF28" s="40">
        <f t="shared" si="10"/>
        <v>0</v>
      </c>
      <c r="AG28" s="40">
        <f t="shared" si="12"/>
        <v>0</v>
      </c>
    </row>
    <row r="29" spans="1:33" ht="42" customHeight="1">
      <c r="B29" s="44">
        <v>4</v>
      </c>
      <c r="C29" s="40">
        <f t="shared" si="10"/>
        <v>1</v>
      </c>
      <c r="D29" s="40">
        <f t="shared" si="10"/>
        <v>1</v>
      </c>
      <c r="E29" s="40">
        <f t="shared" si="10"/>
        <v>0</v>
      </c>
      <c r="F29" s="40">
        <f t="shared" si="10"/>
        <v>0</v>
      </c>
      <c r="G29" s="40">
        <f t="shared" si="10"/>
        <v>0</v>
      </c>
      <c r="H29" s="40">
        <f t="shared" si="10"/>
        <v>0</v>
      </c>
      <c r="I29" s="40">
        <f t="shared" si="10"/>
        <v>0</v>
      </c>
      <c r="J29" s="40">
        <f t="shared" si="10"/>
        <v>1</v>
      </c>
      <c r="K29" s="40">
        <f t="shared" si="10"/>
        <v>1</v>
      </c>
      <c r="L29" s="40">
        <f t="shared" si="10"/>
        <v>1</v>
      </c>
      <c r="M29" s="40">
        <f t="shared" si="10"/>
        <v>1</v>
      </c>
      <c r="N29" s="40">
        <f t="shared" si="10"/>
        <v>1</v>
      </c>
      <c r="O29" s="40">
        <f t="shared" si="10"/>
        <v>1</v>
      </c>
      <c r="P29" s="40">
        <f t="shared" si="10"/>
        <v>0</v>
      </c>
      <c r="Q29" s="40">
        <f t="shared" si="10"/>
        <v>0</v>
      </c>
      <c r="R29" s="40">
        <f t="shared" si="10"/>
        <v>0</v>
      </c>
      <c r="S29" s="40">
        <f t="shared" si="10"/>
        <v>0</v>
      </c>
      <c r="T29" s="40">
        <f t="shared" si="10"/>
        <v>0</v>
      </c>
      <c r="U29" s="40">
        <f t="shared" si="10"/>
        <v>0</v>
      </c>
      <c r="V29" s="40">
        <f t="shared" si="10"/>
        <v>0</v>
      </c>
      <c r="W29" s="40">
        <f t="shared" si="10"/>
        <v>1</v>
      </c>
      <c r="X29" s="40">
        <f t="shared" si="10"/>
        <v>0</v>
      </c>
      <c r="Y29" s="40">
        <f t="shared" si="10"/>
        <v>0</v>
      </c>
      <c r="Z29" s="40">
        <f t="shared" si="10"/>
        <v>0</v>
      </c>
      <c r="AA29" s="40">
        <f t="shared" si="10"/>
        <v>0</v>
      </c>
      <c r="AB29" s="40">
        <f t="shared" si="10"/>
        <v>0</v>
      </c>
      <c r="AC29" s="40">
        <f t="shared" si="10"/>
        <v>0</v>
      </c>
      <c r="AD29" s="40">
        <f t="shared" si="10"/>
        <v>1</v>
      </c>
      <c r="AE29" s="40">
        <f t="shared" si="10"/>
        <v>1</v>
      </c>
      <c r="AF29" s="40">
        <f t="shared" si="10"/>
        <v>0</v>
      </c>
      <c r="AG29" s="40">
        <f t="shared" si="12"/>
        <v>0</v>
      </c>
    </row>
    <row r="30" spans="1:33" ht="42" customHeight="1">
      <c r="B30" s="44">
        <v>5</v>
      </c>
      <c r="C30" s="40">
        <f t="shared" si="10"/>
        <v>1</v>
      </c>
      <c r="D30" s="40">
        <f t="shared" si="10"/>
        <v>1</v>
      </c>
      <c r="E30" s="40">
        <f t="shared" si="10"/>
        <v>1</v>
      </c>
      <c r="F30" s="40">
        <f t="shared" si="10"/>
        <v>1</v>
      </c>
      <c r="G30" s="40">
        <f t="shared" si="10"/>
        <v>1</v>
      </c>
      <c r="H30" s="40">
        <f t="shared" si="10"/>
        <v>1</v>
      </c>
      <c r="I30" s="40">
        <f t="shared" si="10"/>
        <v>1</v>
      </c>
      <c r="J30" s="40">
        <f t="shared" si="10"/>
        <v>1</v>
      </c>
      <c r="K30" s="40">
        <f t="shared" si="10"/>
        <v>1</v>
      </c>
      <c r="L30" s="40">
        <f t="shared" si="10"/>
        <v>1</v>
      </c>
      <c r="M30" s="40">
        <f t="shared" si="10"/>
        <v>1</v>
      </c>
      <c r="N30" s="40">
        <f t="shared" si="10"/>
        <v>1</v>
      </c>
      <c r="O30" s="40">
        <f t="shared" si="10"/>
        <v>1</v>
      </c>
      <c r="P30" s="40">
        <f t="shared" si="10"/>
        <v>0</v>
      </c>
      <c r="Q30" s="40">
        <f t="shared" si="10"/>
        <v>0</v>
      </c>
      <c r="R30" s="40">
        <f t="shared" si="10"/>
        <v>0</v>
      </c>
      <c r="S30" s="40">
        <f t="shared" si="10"/>
        <v>0</v>
      </c>
      <c r="T30" s="40">
        <f t="shared" si="10"/>
        <v>0</v>
      </c>
      <c r="U30" s="40">
        <f t="shared" si="10"/>
        <v>0</v>
      </c>
      <c r="V30" s="40">
        <f t="shared" si="10"/>
        <v>0</v>
      </c>
      <c r="W30" s="40">
        <f t="shared" si="10"/>
        <v>0</v>
      </c>
      <c r="X30" s="40">
        <f t="shared" si="10"/>
        <v>1</v>
      </c>
      <c r="Y30" s="40">
        <f t="shared" si="10"/>
        <v>1</v>
      </c>
      <c r="Z30" s="40">
        <f t="shared" si="10"/>
        <v>1</v>
      </c>
      <c r="AA30" s="40">
        <f t="shared" si="10"/>
        <v>1</v>
      </c>
      <c r="AB30" s="40">
        <f t="shared" si="10"/>
        <v>0</v>
      </c>
      <c r="AC30" s="40">
        <f t="shared" si="10"/>
        <v>0</v>
      </c>
      <c r="AD30" s="40">
        <f t="shared" si="10"/>
        <v>0</v>
      </c>
      <c r="AE30" s="40">
        <f t="shared" si="10"/>
        <v>0</v>
      </c>
      <c r="AF30" s="40">
        <f t="shared" si="10"/>
        <v>0</v>
      </c>
      <c r="AG30" s="40">
        <f t="shared" si="12"/>
        <v>0</v>
      </c>
    </row>
    <row r="31" spans="1:33" ht="42" customHeight="1">
      <c r="B31" s="42">
        <v>6</v>
      </c>
      <c r="C31" s="40">
        <f t="shared" si="10"/>
        <v>0</v>
      </c>
      <c r="D31" s="40">
        <f t="shared" si="10"/>
        <v>0</v>
      </c>
      <c r="E31" s="40">
        <f t="shared" si="10"/>
        <v>0</v>
      </c>
      <c r="F31" s="40">
        <f t="shared" si="10"/>
        <v>1</v>
      </c>
      <c r="G31" s="40">
        <f t="shared" si="10"/>
        <v>0</v>
      </c>
      <c r="H31" s="40">
        <f t="shared" si="10"/>
        <v>0</v>
      </c>
      <c r="I31" s="40">
        <f t="shared" si="10"/>
        <v>0</v>
      </c>
      <c r="J31" s="40">
        <f t="shared" si="10"/>
        <v>1</v>
      </c>
      <c r="K31" s="40">
        <f t="shared" si="10"/>
        <v>1</v>
      </c>
      <c r="L31" s="40">
        <f t="shared" si="10"/>
        <v>0</v>
      </c>
      <c r="M31" s="40">
        <f t="shared" si="10"/>
        <v>0</v>
      </c>
      <c r="N31" s="40">
        <f t="shared" si="10"/>
        <v>0</v>
      </c>
      <c r="O31" s="40">
        <f t="shared" si="10"/>
        <v>0</v>
      </c>
      <c r="P31" s="40">
        <f t="shared" si="10"/>
        <v>0</v>
      </c>
      <c r="Q31" s="40">
        <f t="shared" si="10"/>
        <v>1</v>
      </c>
      <c r="R31" s="40">
        <f t="shared" si="10"/>
        <v>1</v>
      </c>
      <c r="S31" s="40">
        <f t="shared" si="10"/>
        <v>1</v>
      </c>
      <c r="T31" s="40">
        <f t="shared" si="10"/>
        <v>0</v>
      </c>
      <c r="U31" s="40">
        <f t="shared" si="10"/>
        <v>0</v>
      </c>
      <c r="V31" s="40">
        <f t="shared" si="10"/>
        <v>0</v>
      </c>
      <c r="W31" s="40">
        <f t="shared" si="10"/>
        <v>0</v>
      </c>
      <c r="X31" s="40">
        <f t="shared" si="10"/>
        <v>0</v>
      </c>
      <c r="Y31" s="40">
        <f t="shared" si="10"/>
        <v>1</v>
      </c>
      <c r="Z31" s="40">
        <f t="shared" si="10"/>
        <v>1</v>
      </c>
      <c r="AA31" s="40">
        <f t="shared" si="10"/>
        <v>1</v>
      </c>
      <c r="AB31" s="40">
        <f t="shared" si="10"/>
        <v>0</v>
      </c>
      <c r="AC31" s="40">
        <f t="shared" si="10"/>
        <v>0</v>
      </c>
      <c r="AD31" s="40">
        <f t="shared" si="10"/>
        <v>0</v>
      </c>
      <c r="AE31" s="40">
        <f t="shared" si="10"/>
        <v>0</v>
      </c>
      <c r="AF31" s="40">
        <f t="shared" si="10"/>
        <v>0</v>
      </c>
      <c r="AG31" s="40">
        <f t="shared" si="12"/>
        <v>0</v>
      </c>
    </row>
    <row r="32" spans="1:33" ht="42" customHeight="1">
      <c r="B32" s="42">
        <v>7</v>
      </c>
      <c r="C32" s="40">
        <f t="shared" si="10"/>
        <v>1</v>
      </c>
      <c r="D32" s="40">
        <f t="shared" si="10"/>
        <v>1</v>
      </c>
      <c r="E32" s="40">
        <f t="shared" si="10"/>
        <v>1</v>
      </c>
      <c r="F32" s="40">
        <f t="shared" si="10"/>
        <v>1</v>
      </c>
      <c r="G32" s="40">
        <f t="shared" si="10"/>
        <v>0</v>
      </c>
      <c r="H32" s="40">
        <f t="shared" si="10"/>
        <v>0</v>
      </c>
      <c r="I32" s="40">
        <f t="shared" si="10"/>
        <v>0</v>
      </c>
      <c r="J32" s="40">
        <f t="shared" si="10"/>
        <v>0</v>
      </c>
      <c r="K32" s="40">
        <f t="shared" si="10"/>
        <v>0</v>
      </c>
      <c r="L32" s="40">
        <f t="shared" si="10"/>
        <v>1</v>
      </c>
      <c r="M32" s="40">
        <f t="shared" si="10"/>
        <v>1</v>
      </c>
      <c r="N32" s="40">
        <f t="shared" si="10"/>
        <v>1</v>
      </c>
      <c r="O32" s="40">
        <f t="shared" si="10"/>
        <v>0</v>
      </c>
      <c r="P32" s="40">
        <f t="shared" si="10"/>
        <v>0</v>
      </c>
      <c r="Q32" s="40">
        <f t="shared" si="10"/>
        <v>0</v>
      </c>
      <c r="R32" s="40">
        <f t="shared" si="10"/>
        <v>1</v>
      </c>
      <c r="S32" s="40">
        <f t="shared" si="10"/>
        <v>0</v>
      </c>
      <c r="T32" s="40">
        <f t="shared" si="10"/>
        <v>0</v>
      </c>
      <c r="U32" s="40">
        <f t="shared" si="10"/>
        <v>0</v>
      </c>
      <c r="V32" s="40">
        <f t="shared" si="10"/>
        <v>0</v>
      </c>
      <c r="W32" s="40">
        <f t="shared" si="10"/>
        <v>0</v>
      </c>
      <c r="X32" s="40">
        <f t="shared" si="10"/>
        <v>0</v>
      </c>
      <c r="Y32" s="40">
        <f t="shared" si="10"/>
        <v>0</v>
      </c>
      <c r="Z32" s="40">
        <f t="shared" si="10"/>
        <v>0</v>
      </c>
      <c r="AA32" s="40">
        <f t="shared" si="10"/>
        <v>0</v>
      </c>
      <c r="AB32" s="40">
        <f t="shared" si="10"/>
        <v>0</v>
      </c>
      <c r="AC32" s="40">
        <f t="shared" si="10"/>
        <v>0</v>
      </c>
      <c r="AD32" s="40">
        <f t="shared" si="10"/>
        <v>0</v>
      </c>
      <c r="AE32" s="40">
        <f t="shared" si="10"/>
        <v>1</v>
      </c>
      <c r="AF32" s="40">
        <f t="shared" si="10"/>
        <v>1</v>
      </c>
      <c r="AG32" s="40">
        <f t="shared" si="12"/>
        <v>0</v>
      </c>
    </row>
    <row r="33" spans="2:33" ht="42" customHeight="1">
      <c r="B33" s="42">
        <v>8</v>
      </c>
      <c r="C33" s="40">
        <f t="shared" si="10"/>
        <v>0</v>
      </c>
      <c r="D33" s="40">
        <f t="shared" si="10"/>
        <v>0</v>
      </c>
      <c r="E33" s="40">
        <f t="shared" si="10"/>
        <v>0</v>
      </c>
      <c r="F33" s="40">
        <f t="shared" si="10"/>
        <v>0</v>
      </c>
      <c r="G33" s="40">
        <f t="shared" si="10"/>
        <v>0</v>
      </c>
      <c r="H33" s="40">
        <f t="shared" si="10"/>
        <v>0</v>
      </c>
      <c r="I33" s="40">
        <f t="shared" si="10"/>
        <v>1</v>
      </c>
      <c r="J33" s="40">
        <f t="shared" si="10"/>
        <v>1</v>
      </c>
      <c r="K33" s="40">
        <f t="shared" si="10"/>
        <v>1</v>
      </c>
      <c r="L33" s="40">
        <f t="shared" si="10"/>
        <v>1</v>
      </c>
      <c r="M33" s="40">
        <f t="shared" si="10"/>
        <v>1</v>
      </c>
      <c r="N33" s="40">
        <f t="shared" si="10"/>
        <v>1</v>
      </c>
      <c r="O33" s="40">
        <f t="shared" si="10"/>
        <v>1</v>
      </c>
      <c r="P33" s="40">
        <f t="shared" si="10"/>
        <v>0</v>
      </c>
      <c r="Q33" s="40">
        <f t="shared" si="10"/>
        <v>0</v>
      </c>
      <c r="R33" s="40">
        <f t="shared" si="10"/>
        <v>0</v>
      </c>
      <c r="S33" s="40">
        <f t="shared" si="10"/>
        <v>1</v>
      </c>
      <c r="T33" s="40">
        <f t="shared" si="10"/>
        <v>0</v>
      </c>
      <c r="U33" s="40">
        <f t="shared" si="10"/>
        <v>0</v>
      </c>
      <c r="V33" s="40">
        <f t="shared" si="10"/>
        <v>0</v>
      </c>
      <c r="W33" s="40">
        <f t="shared" si="10"/>
        <v>0</v>
      </c>
      <c r="X33" s="40">
        <f t="shared" si="10"/>
        <v>1</v>
      </c>
      <c r="Y33" s="40">
        <f t="shared" si="10"/>
        <v>1</v>
      </c>
      <c r="Z33" s="40">
        <f t="shared" si="10"/>
        <v>1</v>
      </c>
      <c r="AA33" s="40">
        <f t="shared" si="10"/>
        <v>0</v>
      </c>
      <c r="AB33" s="40">
        <f t="shared" si="10"/>
        <v>0</v>
      </c>
      <c r="AC33" s="40">
        <f t="shared" si="10"/>
        <v>0</v>
      </c>
      <c r="AD33" s="40">
        <f t="shared" si="10"/>
        <v>0</v>
      </c>
      <c r="AE33" s="40">
        <f t="shared" si="10"/>
        <v>0</v>
      </c>
      <c r="AF33" s="40">
        <f t="shared" si="10"/>
        <v>0</v>
      </c>
      <c r="AG33" s="40">
        <f t="shared" si="12"/>
        <v>0</v>
      </c>
    </row>
    <row r="34" spans="2:33" ht="42" customHeight="1">
      <c r="B34" s="43">
        <v>9</v>
      </c>
      <c r="C34" s="40">
        <f t="shared" si="10"/>
        <v>1</v>
      </c>
      <c r="D34" s="40">
        <f t="shared" si="10"/>
        <v>1</v>
      </c>
      <c r="E34" s="40">
        <f t="shared" si="10"/>
        <v>1</v>
      </c>
      <c r="F34" s="40">
        <f t="shared" si="10"/>
        <v>0</v>
      </c>
      <c r="G34" s="40">
        <f t="shared" si="10"/>
        <v>0</v>
      </c>
      <c r="H34" s="40">
        <f t="shared" si="10"/>
        <v>0</v>
      </c>
      <c r="I34" s="40">
        <f t="shared" si="10"/>
        <v>1</v>
      </c>
      <c r="J34" s="40">
        <f t="shared" si="10"/>
        <v>0</v>
      </c>
      <c r="K34" s="40">
        <f t="shared" si="10"/>
        <v>0</v>
      </c>
      <c r="L34" s="40">
        <f t="shared" si="10"/>
        <v>0</v>
      </c>
      <c r="M34" s="40">
        <f t="shared" si="10"/>
        <v>0</v>
      </c>
      <c r="N34" s="40">
        <f t="shared" si="10"/>
        <v>0</v>
      </c>
      <c r="O34" s="40">
        <f t="shared" si="10"/>
        <v>0</v>
      </c>
      <c r="P34" s="40">
        <f t="shared" si="10"/>
        <v>0</v>
      </c>
      <c r="Q34" s="40">
        <f t="shared" si="10"/>
        <v>0</v>
      </c>
      <c r="R34" s="40">
        <f t="shared" ref="R34:AF34" si="14">IF(R11=1,1,0)</f>
        <v>0</v>
      </c>
      <c r="S34" s="40">
        <f t="shared" si="14"/>
        <v>0</v>
      </c>
      <c r="T34" s="40">
        <f t="shared" si="14"/>
        <v>1</v>
      </c>
      <c r="U34" s="40">
        <f t="shared" si="14"/>
        <v>1</v>
      </c>
      <c r="V34" s="40">
        <f t="shared" si="14"/>
        <v>1</v>
      </c>
      <c r="W34" s="40">
        <f t="shared" si="14"/>
        <v>1</v>
      </c>
      <c r="X34" s="40">
        <f t="shared" si="14"/>
        <v>0</v>
      </c>
      <c r="Y34" s="40">
        <f t="shared" si="14"/>
        <v>0</v>
      </c>
      <c r="Z34" s="40">
        <f t="shared" si="14"/>
        <v>0</v>
      </c>
      <c r="AA34" s="40">
        <f t="shared" si="14"/>
        <v>0</v>
      </c>
      <c r="AB34" s="40">
        <f t="shared" si="14"/>
        <v>0</v>
      </c>
      <c r="AC34" s="40">
        <f t="shared" ref="AC34" si="15">IF(AC11=1,1,0)</f>
        <v>0</v>
      </c>
      <c r="AD34" s="40">
        <f t="shared" si="14"/>
        <v>0</v>
      </c>
      <c r="AE34" s="40">
        <f t="shared" si="14"/>
        <v>0</v>
      </c>
      <c r="AF34" s="40">
        <f t="shared" si="14"/>
        <v>0</v>
      </c>
      <c r="AG34" s="40">
        <f t="shared" ref="AG34" si="16">IF(AG11=1,1,0)</f>
        <v>0</v>
      </c>
    </row>
    <row r="35" spans="2:33" ht="42" customHeight="1">
      <c r="B35" s="44">
        <v>10</v>
      </c>
      <c r="C35" s="40">
        <f t="shared" ref="C35:AF38" si="17">IF(C12=1,1,0)</f>
        <v>1</v>
      </c>
      <c r="D35" s="40">
        <f t="shared" si="17"/>
        <v>1</v>
      </c>
      <c r="E35" s="40">
        <f t="shared" si="17"/>
        <v>1</v>
      </c>
      <c r="F35" s="40">
        <f t="shared" si="17"/>
        <v>1</v>
      </c>
      <c r="G35" s="40">
        <f t="shared" si="17"/>
        <v>1</v>
      </c>
      <c r="H35" s="40">
        <f t="shared" si="17"/>
        <v>1</v>
      </c>
      <c r="I35" s="40">
        <f t="shared" si="17"/>
        <v>1</v>
      </c>
      <c r="J35" s="40">
        <f t="shared" si="17"/>
        <v>1</v>
      </c>
      <c r="K35" s="40">
        <f t="shared" si="17"/>
        <v>1</v>
      </c>
      <c r="L35" s="40">
        <f t="shared" si="17"/>
        <v>1</v>
      </c>
      <c r="M35" s="40">
        <f t="shared" si="17"/>
        <v>1</v>
      </c>
      <c r="N35" s="40">
        <f t="shared" si="17"/>
        <v>1</v>
      </c>
      <c r="O35" s="40">
        <f t="shared" si="17"/>
        <v>1</v>
      </c>
      <c r="P35" s="40">
        <f t="shared" si="17"/>
        <v>1</v>
      </c>
      <c r="Q35" s="40">
        <f t="shared" si="17"/>
        <v>1</v>
      </c>
      <c r="R35" s="40">
        <f t="shared" si="17"/>
        <v>1</v>
      </c>
      <c r="S35" s="40">
        <f t="shared" si="17"/>
        <v>1</v>
      </c>
      <c r="T35" s="40">
        <f t="shared" si="17"/>
        <v>1</v>
      </c>
      <c r="U35" s="40">
        <f t="shared" si="17"/>
        <v>1</v>
      </c>
      <c r="V35" s="40">
        <f t="shared" si="17"/>
        <v>1</v>
      </c>
      <c r="W35" s="40">
        <f t="shared" si="17"/>
        <v>1</v>
      </c>
      <c r="X35" s="40">
        <f t="shared" si="17"/>
        <v>0</v>
      </c>
      <c r="Y35" s="40">
        <f t="shared" si="17"/>
        <v>0</v>
      </c>
      <c r="Z35" s="40">
        <f t="shared" si="17"/>
        <v>0</v>
      </c>
      <c r="AA35" s="40">
        <f t="shared" si="17"/>
        <v>0</v>
      </c>
      <c r="AB35" s="40">
        <f t="shared" si="17"/>
        <v>0</v>
      </c>
      <c r="AC35" s="40">
        <f t="shared" ref="AC35" si="18">IF(AC12=1,1,0)</f>
        <v>0</v>
      </c>
      <c r="AD35" s="40">
        <f t="shared" si="17"/>
        <v>0</v>
      </c>
      <c r="AE35" s="40">
        <f t="shared" si="17"/>
        <v>0</v>
      </c>
      <c r="AF35" s="40">
        <f t="shared" si="17"/>
        <v>1</v>
      </c>
      <c r="AG35" s="40">
        <f t="shared" ref="AG35" si="19">IF(AG12=1,1,0)</f>
        <v>1</v>
      </c>
    </row>
    <row r="36" spans="2:33" ht="42" customHeight="1">
      <c r="B36" s="44">
        <v>11</v>
      </c>
      <c r="C36" s="40">
        <f t="shared" si="17"/>
        <v>1</v>
      </c>
      <c r="D36" s="40">
        <f t="shared" si="17"/>
        <v>1</v>
      </c>
      <c r="E36" s="40">
        <f t="shared" si="17"/>
        <v>1</v>
      </c>
      <c r="F36" s="40">
        <f t="shared" si="17"/>
        <v>1</v>
      </c>
      <c r="G36" s="40">
        <f t="shared" si="17"/>
        <v>1</v>
      </c>
      <c r="H36" s="40">
        <f t="shared" si="17"/>
        <v>1</v>
      </c>
      <c r="I36" s="40">
        <f t="shared" si="17"/>
        <v>1</v>
      </c>
      <c r="J36" s="40">
        <f t="shared" si="17"/>
        <v>1</v>
      </c>
      <c r="K36" s="40">
        <f t="shared" si="17"/>
        <v>1</v>
      </c>
      <c r="L36" s="40">
        <f t="shared" si="17"/>
        <v>1</v>
      </c>
      <c r="M36" s="40">
        <f t="shared" si="17"/>
        <v>1</v>
      </c>
      <c r="N36" s="40">
        <f t="shared" si="17"/>
        <v>1</v>
      </c>
      <c r="O36" s="40">
        <f t="shared" si="17"/>
        <v>1</v>
      </c>
      <c r="P36" s="40">
        <f t="shared" si="17"/>
        <v>1</v>
      </c>
      <c r="Q36" s="40">
        <f t="shared" si="17"/>
        <v>1</v>
      </c>
      <c r="R36" s="40">
        <f t="shared" si="17"/>
        <v>1</v>
      </c>
      <c r="S36" s="40">
        <f t="shared" si="17"/>
        <v>1</v>
      </c>
      <c r="T36" s="40">
        <f t="shared" si="17"/>
        <v>1</v>
      </c>
      <c r="U36" s="40">
        <f t="shared" si="17"/>
        <v>1</v>
      </c>
      <c r="V36" s="40">
        <f t="shared" si="17"/>
        <v>1</v>
      </c>
      <c r="W36" s="40">
        <f t="shared" si="17"/>
        <v>1</v>
      </c>
      <c r="X36" s="40">
        <f t="shared" si="17"/>
        <v>1</v>
      </c>
      <c r="Y36" s="40">
        <f t="shared" si="17"/>
        <v>1</v>
      </c>
      <c r="Z36" s="40">
        <f t="shared" si="17"/>
        <v>1</v>
      </c>
      <c r="AA36" s="40">
        <f t="shared" si="17"/>
        <v>1</v>
      </c>
      <c r="AB36" s="40">
        <f t="shared" si="17"/>
        <v>1</v>
      </c>
      <c r="AC36" s="40">
        <f t="shared" ref="AC36" si="20">IF(AC13=1,1,0)</f>
        <v>1</v>
      </c>
      <c r="AD36" s="40">
        <f t="shared" si="17"/>
        <v>1</v>
      </c>
      <c r="AE36" s="40">
        <f t="shared" si="17"/>
        <v>1</v>
      </c>
      <c r="AF36" s="40">
        <f t="shared" si="17"/>
        <v>1</v>
      </c>
      <c r="AG36" s="40">
        <f t="shared" ref="AG36" si="21">IF(AG13=1,1,0)</f>
        <v>1</v>
      </c>
    </row>
    <row r="37" spans="2:33" ht="42" customHeight="1">
      <c r="B37" s="42">
        <v>12</v>
      </c>
      <c r="C37" s="40">
        <f t="shared" si="17"/>
        <v>0</v>
      </c>
      <c r="D37" s="40">
        <f t="shared" si="17"/>
        <v>0</v>
      </c>
      <c r="E37" s="40">
        <f t="shared" si="17"/>
        <v>0</v>
      </c>
      <c r="F37" s="40">
        <f t="shared" si="17"/>
        <v>0</v>
      </c>
      <c r="G37" s="40">
        <f t="shared" si="17"/>
        <v>0</v>
      </c>
      <c r="H37" s="40">
        <f t="shared" si="17"/>
        <v>0</v>
      </c>
      <c r="I37" s="40">
        <f t="shared" si="17"/>
        <v>0</v>
      </c>
      <c r="J37" s="40">
        <f t="shared" si="17"/>
        <v>0</v>
      </c>
      <c r="K37" s="40">
        <f t="shared" si="17"/>
        <v>0</v>
      </c>
      <c r="L37" s="40">
        <f t="shared" si="17"/>
        <v>0</v>
      </c>
      <c r="M37" s="40">
        <f t="shared" si="17"/>
        <v>0</v>
      </c>
      <c r="N37" s="40">
        <f t="shared" si="17"/>
        <v>0</v>
      </c>
      <c r="O37" s="40">
        <f t="shared" si="17"/>
        <v>0</v>
      </c>
      <c r="P37" s="40">
        <f t="shared" si="17"/>
        <v>0</v>
      </c>
      <c r="Q37" s="40">
        <f t="shared" si="17"/>
        <v>0</v>
      </c>
      <c r="R37" s="40">
        <f t="shared" si="17"/>
        <v>0</v>
      </c>
      <c r="S37" s="40">
        <f t="shared" si="17"/>
        <v>0</v>
      </c>
      <c r="T37" s="40">
        <f t="shared" si="17"/>
        <v>0</v>
      </c>
      <c r="U37" s="40">
        <f t="shared" si="17"/>
        <v>1</v>
      </c>
      <c r="V37" s="40">
        <f t="shared" si="17"/>
        <v>1</v>
      </c>
      <c r="W37" s="40">
        <f t="shared" si="17"/>
        <v>1</v>
      </c>
      <c r="X37" s="40">
        <f t="shared" si="17"/>
        <v>1</v>
      </c>
      <c r="Y37" s="40">
        <f t="shared" si="17"/>
        <v>1</v>
      </c>
      <c r="Z37" s="40">
        <f t="shared" si="17"/>
        <v>1</v>
      </c>
      <c r="AA37" s="40">
        <f t="shared" si="17"/>
        <v>1</v>
      </c>
      <c r="AB37" s="40">
        <f t="shared" si="17"/>
        <v>1</v>
      </c>
      <c r="AC37" s="40">
        <f t="shared" ref="AC37" si="22">IF(AC14=1,1,0)</f>
        <v>0</v>
      </c>
      <c r="AD37" s="40">
        <f t="shared" si="17"/>
        <v>0</v>
      </c>
      <c r="AE37" s="40">
        <f t="shared" si="17"/>
        <v>0</v>
      </c>
      <c r="AF37" s="40">
        <f>IF(AC14=1,1,0)</f>
        <v>0</v>
      </c>
      <c r="AG37" s="40">
        <f t="shared" ref="AG37" si="23">IF(AG14=1,1,0)</f>
        <v>0</v>
      </c>
    </row>
    <row r="38" spans="2:33" ht="42" customHeight="1">
      <c r="B38" s="45" t="s">
        <v>111</v>
      </c>
      <c r="C38" s="40">
        <f t="shared" si="17"/>
        <v>0</v>
      </c>
      <c r="D38" s="40">
        <f t="shared" si="17"/>
        <v>0</v>
      </c>
      <c r="E38" s="40">
        <f t="shared" si="17"/>
        <v>0</v>
      </c>
      <c r="F38" s="40">
        <f t="shared" si="17"/>
        <v>1</v>
      </c>
      <c r="G38" s="40">
        <f t="shared" si="17"/>
        <v>0</v>
      </c>
      <c r="H38" s="40">
        <f t="shared" si="17"/>
        <v>0</v>
      </c>
      <c r="I38" s="40">
        <f t="shared" si="17"/>
        <v>0</v>
      </c>
      <c r="J38" s="40">
        <f t="shared" si="17"/>
        <v>0</v>
      </c>
      <c r="K38" s="40">
        <f t="shared" si="17"/>
        <v>0</v>
      </c>
      <c r="L38" s="40">
        <f t="shared" si="17"/>
        <v>0</v>
      </c>
      <c r="M38" s="40">
        <f t="shared" si="17"/>
        <v>0</v>
      </c>
      <c r="N38" s="40">
        <f t="shared" si="17"/>
        <v>1</v>
      </c>
      <c r="O38" s="40">
        <f t="shared" si="17"/>
        <v>1</v>
      </c>
      <c r="P38" s="40">
        <f t="shared" si="17"/>
        <v>1</v>
      </c>
      <c r="Q38" s="40">
        <f t="shared" si="17"/>
        <v>1</v>
      </c>
      <c r="R38" s="40">
        <f t="shared" si="17"/>
        <v>1</v>
      </c>
      <c r="S38" s="40">
        <f t="shared" si="17"/>
        <v>0</v>
      </c>
      <c r="T38" s="40">
        <f t="shared" si="17"/>
        <v>0</v>
      </c>
      <c r="U38" s="40">
        <f t="shared" si="17"/>
        <v>0</v>
      </c>
      <c r="V38" s="40">
        <f t="shared" si="17"/>
        <v>0</v>
      </c>
      <c r="W38" s="40">
        <f t="shared" si="17"/>
        <v>0</v>
      </c>
      <c r="X38" s="40">
        <f t="shared" si="17"/>
        <v>0</v>
      </c>
      <c r="Y38" s="40">
        <f t="shared" si="17"/>
        <v>0</v>
      </c>
      <c r="Z38" s="40">
        <f t="shared" si="17"/>
        <v>1</v>
      </c>
      <c r="AA38" s="40">
        <f t="shared" si="17"/>
        <v>1</v>
      </c>
      <c r="AB38" s="40">
        <f t="shared" si="17"/>
        <v>1</v>
      </c>
      <c r="AC38" s="40">
        <f t="shared" ref="AC38" si="24">IF(AC15=1,1,0)</f>
        <v>0</v>
      </c>
      <c r="AD38" s="40">
        <f t="shared" si="17"/>
        <v>0</v>
      </c>
      <c r="AE38" s="40">
        <f t="shared" si="17"/>
        <v>0</v>
      </c>
      <c r="AF38" s="40">
        <f t="shared" si="17"/>
        <v>0</v>
      </c>
      <c r="AG38" s="40">
        <f t="shared" ref="AG38" si="25">IF(AG15=1,1,0)</f>
        <v>0</v>
      </c>
    </row>
  </sheetData>
  <mergeCells count="44">
    <mergeCell ref="G8:I8"/>
    <mergeCell ref="C10:H10"/>
    <mergeCell ref="P3:S4"/>
    <mergeCell ref="T5:Z5"/>
    <mergeCell ref="G9:K9"/>
    <mergeCell ref="W4:AB4"/>
    <mergeCell ref="X3:AC3"/>
    <mergeCell ref="F5:H5"/>
    <mergeCell ref="T4:V4"/>
    <mergeCell ref="T6:V6"/>
    <mergeCell ref="S9:V9"/>
    <mergeCell ref="E3:I3"/>
    <mergeCell ref="C4:E4"/>
    <mergeCell ref="E6:I6"/>
    <mergeCell ref="I5:L5"/>
    <mergeCell ref="C8:E8"/>
    <mergeCell ref="F4:I4"/>
    <mergeCell ref="S15:Y15"/>
    <mergeCell ref="C15:E15"/>
    <mergeCell ref="G15:M15"/>
    <mergeCell ref="F11:H11"/>
    <mergeCell ref="J11:M11"/>
    <mergeCell ref="X11:AE12"/>
    <mergeCell ref="C14:T14"/>
    <mergeCell ref="AC15:AG15"/>
    <mergeCell ref="AD14:AG14"/>
    <mergeCell ref="AF11:AG11"/>
    <mergeCell ref="N11:S11"/>
    <mergeCell ref="C5:E5"/>
    <mergeCell ref="AF10:AG10"/>
    <mergeCell ref="P10:R10"/>
    <mergeCell ref="AF6:AG6"/>
    <mergeCell ref="T8:X8"/>
    <mergeCell ref="AA10:AE10"/>
    <mergeCell ref="T10:W10"/>
    <mergeCell ref="AA5:AG5"/>
    <mergeCell ref="O9:Q9"/>
    <mergeCell ref="W9:AA9"/>
    <mergeCell ref="AC8:AE8"/>
    <mergeCell ref="AB7:AG7"/>
    <mergeCell ref="L8:P8"/>
    <mergeCell ref="P6:S7"/>
    <mergeCell ref="AF8:AG8"/>
    <mergeCell ref="AB9:AD9"/>
  </mergeCells>
  <conditionalFormatting sqref="C17:AF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270A-6844-486A-ACF2-4C580194D0CA}">
  <sheetPr>
    <tabColor theme="7" tint="0.59999389629810485"/>
  </sheetPr>
  <dimension ref="A1:AG38"/>
  <sheetViews>
    <sheetView zoomScale="40" zoomScaleNormal="40" workbookViewId="0">
      <pane xSplit="2" ySplit="2" topLeftCell="C3" activePane="bottomRight" state="frozen"/>
      <selection pane="bottomRight" activeCell="L9" sqref="L9:O10"/>
      <selection pane="bottomLeft" activeCell="AF11" sqref="AF11:AG11"/>
      <selection pane="topRight" activeCell="AF11" sqref="AF11:AG11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33" width="15.28515625" style="26" customWidth="1"/>
    <col min="34" max="16384" width="8.7109375" style="26"/>
  </cols>
  <sheetData>
    <row r="1" spans="1:33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  <c r="AE1" s="25">
        <v>29</v>
      </c>
      <c r="AF1" s="25">
        <v>30</v>
      </c>
      <c r="AG1" s="25">
        <v>31</v>
      </c>
    </row>
    <row r="2" spans="1:33" ht="27.75" customHeight="1">
      <c r="A2" s="27"/>
      <c r="B2" s="27"/>
      <c r="C2" s="28" t="s">
        <v>8</v>
      </c>
      <c r="D2" s="30" t="s">
        <v>2</v>
      </c>
      <c r="E2" s="31" t="s">
        <v>3</v>
      </c>
      <c r="F2" s="28" t="s">
        <v>4</v>
      </c>
      <c r="G2" s="28" t="s">
        <v>5</v>
      </c>
      <c r="H2" s="29" t="s">
        <v>6</v>
      </c>
      <c r="I2" s="28" t="s">
        <v>7</v>
      </c>
      <c r="J2" s="28" t="s">
        <v>8</v>
      </c>
      <c r="K2" s="30" t="s">
        <v>2</v>
      </c>
      <c r="L2" s="31" t="s">
        <v>3</v>
      </c>
      <c r="M2" s="28" t="s">
        <v>4</v>
      </c>
      <c r="N2" s="28" t="s">
        <v>5</v>
      </c>
      <c r="O2" s="29" t="s">
        <v>6</v>
      </c>
      <c r="P2" s="28" t="s">
        <v>7</v>
      </c>
      <c r="Q2" s="28" t="s">
        <v>8</v>
      </c>
      <c r="R2" s="30" t="s">
        <v>2</v>
      </c>
      <c r="S2" s="31" t="s">
        <v>3</v>
      </c>
      <c r="T2" s="28" t="s">
        <v>4</v>
      </c>
      <c r="U2" s="28" t="s">
        <v>5</v>
      </c>
      <c r="V2" s="29" t="s">
        <v>6</v>
      </c>
      <c r="W2" s="28" t="s">
        <v>7</v>
      </c>
      <c r="X2" s="28" t="s">
        <v>8</v>
      </c>
      <c r="Y2" s="30" t="s">
        <v>2</v>
      </c>
      <c r="Z2" s="31" t="s">
        <v>3</v>
      </c>
      <c r="AA2" s="28" t="s">
        <v>4</v>
      </c>
      <c r="AB2" s="28" t="s">
        <v>5</v>
      </c>
      <c r="AC2" s="29" t="s">
        <v>6</v>
      </c>
      <c r="AD2" s="52" t="s">
        <v>7</v>
      </c>
      <c r="AE2" s="52" t="s">
        <v>8</v>
      </c>
      <c r="AF2" s="50" t="s">
        <v>2</v>
      </c>
      <c r="AG2" s="51" t="s">
        <v>3</v>
      </c>
    </row>
    <row r="3" spans="1:33" ht="85.5" customHeight="1">
      <c r="A3" s="32">
        <v>1</v>
      </c>
      <c r="B3" s="33" t="s">
        <v>9</v>
      </c>
      <c r="C3" s="359" t="s">
        <v>798</v>
      </c>
      <c r="D3" s="361"/>
      <c r="E3" s="23">
        <v>1</v>
      </c>
      <c r="F3" s="23">
        <v>1</v>
      </c>
      <c r="G3" s="23">
        <v>1</v>
      </c>
      <c r="H3" s="23">
        <v>1</v>
      </c>
      <c r="I3" s="23">
        <v>1</v>
      </c>
      <c r="J3" s="23">
        <v>1</v>
      </c>
      <c r="K3" s="23">
        <v>1</v>
      </c>
      <c r="L3" s="411" t="s">
        <v>832</v>
      </c>
      <c r="M3" s="642"/>
      <c r="N3" s="441"/>
      <c r="O3" s="23">
        <v>1</v>
      </c>
      <c r="P3" s="23">
        <v>1</v>
      </c>
      <c r="Q3" s="23">
        <v>1</v>
      </c>
      <c r="R3" s="23">
        <v>1</v>
      </c>
      <c r="S3" s="23">
        <v>1</v>
      </c>
      <c r="T3" s="385" t="s">
        <v>833</v>
      </c>
      <c r="U3" s="283"/>
      <c r="V3" s="287"/>
      <c r="W3" s="23">
        <v>1</v>
      </c>
      <c r="X3" s="46">
        <v>1</v>
      </c>
      <c r="Y3" s="46">
        <v>1</v>
      </c>
      <c r="Z3" s="258" t="s">
        <v>834</v>
      </c>
      <c r="AA3" s="259"/>
      <c r="AB3" s="259"/>
      <c r="AC3" s="259"/>
      <c r="AD3" s="522"/>
      <c r="AE3" s="54">
        <v>1</v>
      </c>
      <c r="AF3" s="143"/>
      <c r="AG3" s="144"/>
    </row>
    <row r="4" spans="1:33" ht="85.5" customHeight="1">
      <c r="A4" s="34">
        <v>2</v>
      </c>
      <c r="B4" s="33" t="s">
        <v>9</v>
      </c>
      <c r="C4" s="175"/>
      <c r="D4" s="23">
        <v>1</v>
      </c>
      <c r="E4" s="23">
        <v>1</v>
      </c>
      <c r="F4" s="23">
        <v>1</v>
      </c>
      <c r="G4" s="281" t="s">
        <v>577</v>
      </c>
      <c r="H4" s="282"/>
      <c r="I4" s="282"/>
      <c r="J4" s="297"/>
      <c r="K4" s="23">
        <v>1</v>
      </c>
      <c r="L4" s="23">
        <v>1</v>
      </c>
      <c r="M4" s="23">
        <v>1</v>
      </c>
      <c r="N4" s="23">
        <v>1</v>
      </c>
      <c r="O4" s="23">
        <v>1</v>
      </c>
      <c r="P4" s="213" t="s">
        <v>835</v>
      </c>
      <c r="Q4" s="214"/>
      <c r="R4" s="227"/>
      <c r="S4" s="213" t="s">
        <v>836</v>
      </c>
      <c r="T4" s="214"/>
      <c r="U4" s="227"/>
      <c r="V4" s="23">
        <v>1</v>
      </c>
      <c r="W4" s="65">
        <v>1</v>
      </c>
      <c r="X4" s="84"/>
      <c r="Y4" s="84"/>
      <c r="Z4" s="84"/>
      <c r="AA4" s="668" t="s">
        <v>837</v>
      </c>
      <c r="AB4" s="614"/>
      <c r="AC4" s="614"/>
      <c r="AD4" s="669"/>
      <c r="AE4" s="84"/>
      <c r="AF4" s="84"/>
      <c r="AG4" s="84"/>
    </row>
    <row r="5" spans="1:33" ht="108" customHeight="1">
      <c r="A5" s="34">
        <v>3</v>
      </c>
      <c r="B5" s="33" t="s">
        <v>29</v>
      </c>
      <c r="C5" s="192" t="s">
        <v>805</v>
      </c>
      <c r="D5" s="23">
        <v>1</v>
      </c>
      <c r="E5" s="215" t="s">
        <v>838</v>
      </c>
      <c r="F5" s="279"/>
      <c r="G5" s="279"/>
      <c r="H5" s="225"/>
      <c r="I5" s="23">
        <v>1</v>
      </c>
      <c r="J5" s="23">
        <v>1</v>
      </c>
      <c r="K5" s="23">
        <v>1</v>
      </c>
      <c r="L5" s="218" t="s">
        <v>839</v>
      </c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46"/>
      <c r="Y5" s="246"/>
      <c r="Z5" s="247"/>
      <c r="AA5" s="237"/>
      <c r="AB5" s="237"/>
      <c r="AC5" s="237"/>
      <c r="AD5" s="238"/>
      <c r="AE5" s="84"/>
      <c r="AF5" s="84"/>
      <c r="AG5" s="84"/>
    </row>
    <row r="6" spans="1:33" ht="108" customHeight="1">
      <c r="A6" s="34">
        <v>4</v>
      </c>
      <c r="B6" s="33" t="s">
        <v>37</v>
      </c>
      <c r="C6" s="317" t="s">
        <v>808</v>
      </c>
      <c r="D6" s="318"/>
      <c r="E6" s="318"/>
      <c r="F6" s="318"/>
      <c r="G6" s="319"/>
      <c r="H6" s="23">
        <v>1</v>
      </c>
      <c r="I6" s="23">
        <v>1</v>
      </c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65">
        <v>1</v>
      </c>
      <c r="Q6" s="362" t="s">
        <v>840</v>
      </c>
      <c r="R6" s="362"/>
      <c r="S6" s="362"/>
      <c r="T6" s="108">
        <v>1</v>
      </c>
      <c r="U6" s="23">
        <v>1</v>
      </c>
      <c r="V6" s="23">
        <v>1</v>
      </c>
      <c r="W6" s="23">
        <v>1</v>
      </c>
      <c r="X6" s="23">
        <v>1</v>
      </c>
      <c r="Y6" s="65">
        <v>1</v>
      </c>
      <c r="Z6" s="109">
        <v>1</v>
      </c>
      <c r="AA6" s="119">
        <v>1</v>
      </c>
      <c r="AB6" s="370" t="s">
        <v>841</v>
      </c>
      <c r="AC6" s="246"/>
      <c r="AD6" s="371"/>
      <c r="AE6" s="154">
        <v>1</v>
      </c>
      <c r="AF6" s="155"/>
      <c r="AG6" s="155"/>
    </row>
    <row r="7" spans="1:33" ht="85.5" customHeight="1">
      <c r="A7" s="34">
        <v>5</v>
      </c>
      <c r="B7" s="33" t="s">
        <v>37</v>
      </c>
      <c r="C7" s="192" t="s">
        <v>809</v>
      </c>
      <c r="D7" s="23">
        <v>1</v>
      </c>
      <c r="E7" s="46">
        <v>1</v>
      </c>
      <c r="F7" s="46">
        <v>1</v>
      </c>
      <c r="G7" s="46">
        <v>1</v>
      </c>
      <c r="H7" s="46">
        <v>1</v>
      </c>
      <c r="I7" s="215" t="s">
        <v>842</v>
      </c>
      <c r="J7" s="279"/>
      <c r="K7" s="225"/>
      <c r="L7" s="23">
        <v>1</v>
      </c>
      <c r="M7" s="23">
        <v>1</v>
      </c>
      <c r="N7" s="23">
        <v>1</v>
      </c>
      <c r="O7" s="23">
        <v>1</v>
      </c>
      <c r="P7" s="65">
        <v>1</v>
      </c>
      <c r="Q7" s="362"/>
      <c r="R7" s="362"/>
      <c r="S7" s="362"/>
      <c r="T7" s="134">
        <v>1</v>
      </c>
      <c r="U7" s="46">
        <v>1</v>
      </c>
      <c r="V7" s="46">
        <v>1</v>
      </c>
      <c r="W7" s="46">
        <v>1</v>
      </c>
      <c r="X7" s="23">
        <v>1</v>
      </c>
      <c r="Y7" s="23">
        <v>1</v>
      </c>
      <c r="Z7" s="210" t="s">
        <v>843</v>
      </c>
      <c r="AA7" s="674"/>
      <c r="AB7" s="674"/>
      <c r="AC7" s="674"/>
      <c r="AD7" s="674"/>
      <c r="AE7" s="674"/>
      <c r="AF7" s="212"/>
      <c r="AG7" s="121"/>
    </row>
    <row r="8" spans="1:33" ht="103.35" customHeight="1">
      <c r="A8" s="34">
        <v>6</v>
      </c>
      <c r="B8" s="33" t="s">
        <v>9</v>
      </c>
      <c r="C8" s="546" t="s">
        <v>814</v>
      </c>
      <c r="D8" s="678"/>
      <c r="E8" s="128"/>
      <c r="F8" s="91"/>
      <c r="G8" s="245" t="s">
        <v>844</v>
      </c>
      <c r="H8" s="246"/>
      <c r="I8" s="246"/>
      <c r="J8" s="371"/>
      <c r="K8" s="215" t="s">
        <v>832</v>
      </c>
      <c r="L8" s="279"/>
      <c r="M8" s="279"/>
      <c r="N8" s="225"/>
      <c r="O8" s="23">
        <v>1</v>
      </c>
      <c r="P8" s="65">
        <v>1</v>
      </c>
      <c r="Q8" s="362"/>
      <c r="R8" s="362"/>
      <c r="S8" s="362"/>
      <c r="T8" s="167"/>
      <c r="U8" s="91"/>
      <c r="V8" s="91"/>
      <c r="W8" s="91"/>
      <c r="X8" s="216" t="s">
        <v>845</v>
      </c>
      <c r="Y8" s="216"/>
      <c r="Z8" s="217"/>
      <c r="AA8" s="46">
        <v>1</v>
      </c>
      <c r="AB8" s="146">
        <v>1</v>
      </c>
      <c r="AC8" s="146">
        <v>1</v>
      </c>
      <c r="AD8" s="47">
        <v>1</v>
      </c>
      <c r="AE8" s="47">
        <v>1</v>
      </c>
      <c r="AF8" s="385" t="s">
        <v>846</v>
      </c>
      <c r="AG8" s="287"/>
    </row>
    <row r="9" spans="1:33" ht="112.5" customHeight="1">
      <c r="A9" s="34">
        <v>7</v>
      </c>
      <c r="B9" s="33" t="s">
        <v>9</v>
      </c>
      <c r="C9" s="215" t="s">
        <v>798</v>
      </c>
      <c r="D9" s="225"/>
      <c r="E9" s="47">
        <v>1</v>
      </c>
      <c r="F9" s="47">
        <v>1</v>
      </c>
      <c r="G9" s="47">
        <v>1</v>
      </c>
      <c r="H9" s="47">
        <v>1</v>
      </c>
      <c r="I9" s="84"/>
      <c r="J9" s="84"/>
      <c r="K9" s="84"/>
      <c r="L9" s="675" t="s">
        <v>847</v>
      </c>
      <c r="M9" s="614"/>
      <c r="N9" s="614"/>
      <c r="O9" s="676"/>
      <c r="P9" s="23">
        <v>1</v>
      </c>
      <c r="Q9" s="47">
        <v>1</v>
      </c>
      <c r="R9" s="47">
        <v>1</v>
      </c>
      <c r="S9" s="254" t="s">
        <v>848</v>
      </c>
      <c r="T9" s="255"/>
      <c r="U9" s="298"/>
      <c r="V9" s="47">
        <v>1</v>
      </c>
      <c r="W9" s="107">
        <v>1</v>
      </c>
      <c r="X9" s="128"/>
      <c r="Y9" s="91"/>
      <c r="Z9" s="643" t="s">
        <v>849</v>
      </c>
      <c r="AA9" s="643"/>
      <c r="AB9" s="643"/>
      <c r="AC9" s="643"/>
      <c r="AD9" s="607" t="s">
        <v>850</v>
      </c>
      <c r="AE9" s="216"/>
      <c r="AF9" s="216"/>
      <c r="AG9" s="217"/>
    </row>
    <row r="10" spans="1:33" ht="85.5" customHeight="1">
      <c r="A10" s="34">
        <v>8</v>
      </c>
      <c r="B10" s="33" t="s">
        <v>9</v>
      </c>
      <c r="C10" s="215" t="s">
        <v>851</v>
      </c>
      <c r="D10" s="279"/>
      <c r="E10" s="279"/>
      <c r="F10" s="279"/>
      <c r="G10" s="225"/>
      <c r="H10" s="65">
        <v>1</v>
      </c>
      <c r="I10" s="84"/>
      <c r="J10" s="84"/>
      <c r="K10" s="84"/>
      <c r="L10" s="677"/>
      <c r="M10" s="653"/>
      <c r="N10" s="653"/>
      <c r="O10" s="652"/>
      <c r="P10" s="23">
        <v>1</v>
      </c>
      <c r="Q10" s="23">
        <v>1</v>
      </c>
      <c r="R10" s="23">
        <v>1</v>
      </c>
      <c r="S10" s="23">
        <v>1</v>
      </c>
      <c r="T10" s="23">
        <v>1</v>
      </c>
      <c r="U10" s="46">
        <v>1</v>
      </c>
      <c r="V10" s="46">
        <v>1</v>
      </c>
      <c r="W10" s="46">
        <v>1</v>
      </c>
      <c r="X10" s="146">
        <v>1</v>
      </c>
      <c r="Y10" s="146">
        <v>1</v>
      </c>
      <c r="Z10" s="670"/>
      <c r="AA10" s="670"/>
      <c r="AB10" s="670"/>
      <c r="AC10" s="670"/>
      <c r="AD10" s="402"/>
      <c r="AE10" s="252"/>
      <c r="AF10" s="252"/>
      <c r="AG10" s="253"/>
    </row>
    <row r="11" spans="1:33" ht="85.5" customHeight="1">
      <c r="A11" s="34">
        <v>9</v>
      </c>
      <c r="B11" s="35" t="s">
        <v>29</v>
      </c>
      <c r="C11" s="215" t="s">
        <v>827</v>
      </c>
      <c r="D11" s="279"/>
      <c r="E11" s="216"/>
      <c r="F11" s="216"/>
      <c r="G11" s="217"/>
      <c r="H11" s="54">
        <v>1</v>
      </c>
      <c r="I11" s="84"/>
      <c r="J11" s="84"/>
      <c r="K11" s="84"/>
      <c r="L11" s="84"/>
      <c r="M11" s="284" t="s">
        <v>852</v>
      </c>
      <c r="N11" s="282"/>
      <c r="O11" s="282"/>
      <c r="P11" s="282"/>
      <c r="Q11" s="282"/>
      <c r="R11" s="282"/>
      <c r="S11" s="297"/>
      <c r="T11" s="65">
        <v>1</v>
      </c>
      <c r="U11" s="128"/>
      <c r="V11" s="128"/>
      <c r="W11" s="128"/>
      <c r="X11" s="266" t="s">
        <v>853</v>
      </c>
      <c r="Y11" s="671"/>
      <c r="Z11" s="672"/>
      <c r="AA11" s="150"/>
      <c r="AB11" s="150"/>
      <c r="AC11" s="150"/>
      <c r="AD11" s="128"/>
      <c r="AE11" s="128"/>
      <c r="AF11" s="266" t="s">
        <v>854</v>
      </c>
      <c r="AG11" s="673"/>
    </row>
    <row r="12" spans="1:33" ht="85.5" customHeight="1">
      <c r="A12" s="34">
        <v>10</v>
      </c>
      <c r="B12" s="33" t="s">
        <v>37</v>
      </c>
      <c r="C12" s="23">
        <v>1</v>
      </c>
      <c r="D12" s="65">
        <v>1</v>
      </c>
      <c r="E12" s="128"/>
      <c r="F12" s="91"/>
      <c r="G12" s="91"/>
      <c r="H12" s="91"/>
      <c r="I12" s="119">
        <v>1</v>
      </c>
      <c r="J12" s="47">
        <v>1</v>
      </c>
      <c r="K12" s="47">
        <v>1</v>
      </c>
      <c r="L12" s="47">
        <v>1</v>
      </c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47">
        <v>1</v>
      </c>
      <c r="V12" s="47">
        <v>1</v>
      </c>
      <c r="W12" s="47">
        <v>1</v>
      </c>
      <c r="X12" s="47">
        <v>1</v>
      </c>
      <c r="Y12" s="47">
        <v>1</v>
      </c>
      <c r="Z12" s="47">
        <v>1</v>
      </c>
      <c r="AA12" s="47">
        <v>1</v>
      </c>
      <c r="AB12" s="84"/>
      <c r="AC12" s="84"/>
      <c r="AD12" s="84"/>
      <c r="AE12" s="84"/>
      <c r="AF12" s="84"/>
      <c r="AG12" s="84"/>
    </row>
    <row r="13" spans="1:33" ht="85.5" customHeight="1">
      <c r="A13" s="34">
        <v>11</v>
      </c>
      <c r="B13" s="33" t="s">
        <v>37</v>
      </c>
      <c r="C13" s="23">
        <v>1</v>
      </c>
      <c r="D13" s="23">
        <v>1</v>
      </c>
      <c r="E13" s="47">
        <v>1</v>
      </c>
      <c r="F13" s="47">
        <v>1</v>
      </c>
      <c r="G13" s="47">
        <v>1</v>
      </c>
      <c r="H13" s="47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28" t="s">
        <v>855</v>
      </c>
      <c r="AB13" s="229"/>
      <c r="AC13" s="229"/>
      <c r="AD13" s="229"/>
      <c r="AE13" s="229"/>
      <c r="AF13" s="229"/>
      <c r="AG13" s="230"/>
    </row>
    <row r="14" spans="1:33" ht="85.5" customHeight="1">
      <c r="A14" s="34">
        <v>12</v>
      </c>
      <c r="B14" s="33" t="s">
        <v>9</v>
      </c>
      <c r="C14" s="177" t="s">
        <v>721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178"/>
      <c r="J14" s="178"/>
      <c r="K14" s="178"/>
      <c r="L14" s="178"/>
      <c r="M14" s="23">
        <v>1</v>
      </c>
      <c r="N14" s="23">
        <v>1</v>
      </c>
      <c r="O14" s="23">
        <v>1</v>
      </c>
      <c r="P14" s="23">
        <v>1</v>
      </c>
      <c r="Q14" s="23">
        <v>1</v>
      </c>
      <c r="R14" s="546" t="s">
        <v>856</v>
      </c>
      <c r="S14" s="547"/>
      <c r="T14" s="547"/>
      <c r="U14" s="547"/>
      <c r="V14" s="548"/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65">
        <v>1</v>
      </c>
      <c r="AD14" s="84"/>
      <c r="AE14" s="84"/>
      <c r="AF14" s="84"/>
      <c r="AG14" s="84"/>
    </row>
    <row r="15" spans="1:33" ht="85.5" customHeight="1">
      <c r="A15" s="34" t="s">
        <v>111</v>
      </c>
      <c r="B15" s="33" t="s">
        <v>112</v>
      </c>
      <c r="C15" s="174" t="s">
        <v>831</v>
      </c>
      <c r="D15" s="23">
        <v>1</v>
      </c>
      <c r="E15" s="281" t="s">
        <v>857</v>
      </c>
      <c r="F15" s="282"/>
      <c r="G15" s="282"/>
      <c r="H15" s="282"/>
      <c r="I15" s="297"/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15" t="s">
        <v>858</v>
      </c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55"/>
      <c r="AE15" s="255"/>
      <c r="AF15" s="255"/>
      <c r="AG15" s="298"/>
    </row>
    <row r="16" spans="1:33" ht="84.95" customHeight="1">
      <c r="A16" s="36"/>
      <c r="B16" s="37"/>
      <c r="C16" s="38" t="e">
        <f>(30*13-SUM(C17:AF20))/(30*13)</f>
        <v>#REF!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 ht="85.5" customHeight="1">
      <c r="A17" s="2"/>
      <c r="B17" s="3" t="s">
        <v>121</v>
      </c>
      <c r="C17" s="2">
        <f t="shared" ref="C17:AG17" si="0">C28+C34</f>
        <v>0</v>
      </c>
      <c r="D17" s="2">
        <f t="shared" si="0"/>
        <v>1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1</v>
      </c>
      <c r="I17" s="4">
        <f t="shared" si="0"/>
        <v>1</v>
      </c>
      <c r="J17" s="4">
        <f t="shared" si="0"/>
        <v>1</v>
      </c>
      <c r="K17" s="4">
        <f t="shared" si="0"/>
        <v>1</v>
      </c>
      <c r="L17" s="4">
        <f t="shared" si="0"/>
        <v>0</v>
      </c>
      <c r="M17" s="4">
        <f t="shared" si="0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0</v>
      </c>
      <c r="R17" s="4">
        <f t="shared" si="0"/>
        <v>0</v>
      </c>
      <c r="S17" s="4">
        <f t="shared" si="0"/>
        <v>0</v>
      </c>
      <c r="T17" s="4">
        <f t="shared" si="0"/>
        <v>1</v>
      </c>
      <c r="U17" s="4">
        <f t="shared" si="0"/>
        <v>0</v>
      </c>
      <c r="V17" s="4">
        <f t="shared" si="0"/>
        <v>0</v>
      </c>
      <c r="W17" s="4">
        <f t="shared" si="0"/>
        <v>0</v>
      </c>
      <c r="X17" s="4">
        <f t="shared" si="0"/>
        <v>0</v>
      </c>
      <c r="Y17" s="4">
        <f t="shared" si="0"/>
        <v>0</v>
      </c>
      <c r="Z17" s="4">
        <f t="shared" si="0"/>
        <v>0</v>
      </c>
      <c r="AA17" s="4">
        <f t="shared" si="0"/>
        <v>0</v>
      </c>
      <c r="AB17" s="4">
        <f t="shared" si="0"/>
        <v>0</v>
      </c>
      <c r="AC17" s="4">
        <f t="shared" si="0"/>
        <v>0</v>
      </c>
      <c r="AD17" s="4">
        <f t="shared" si="0"/>
        <v>0</v>
      </c>
      <c r="AE17" s="4">
        <f t="shared" si="0"/>
        <v>0</v>
      </c>
      <c r="AF17" s="4">
        <f t="shared" si="0"/>
        <v>0</v>
      </c>
      <c r="AG17" s="4">
        <f t="shared" si="0"/>
        <v>0</v>
      </c>
    </row>
    <row r="18" spans="1:33" ht="85.5" customHeight="1">
      <c r="A18" s="2"/>
      <c r="B18" s="3" t="s">
        <v>122</v>
      </c>
      <c r="C18" s="2" t="e">
        <f t="shared" ref="C18:AG18" si="1">C26+C27+C31+C32+C33+C37</f>
        <v>#REF!</v>
      </c>
      <c r="D18" s="2">
        <f t="shared" si="1"/>
        <v>2</v>
      </c>
      <c r="E18" s="4">
        <f t="shared" si="1"/>
        <v>4</v>
      </c>
      <c r="F18" s="4">
        <f t="shared" si="1"/>
        <v>4</v>
      </c>
      <c r="G18" s="4">
        <f t="shared" si="1"/>
        <v>3</v>
      </c>
      <c r="H18" s="4">
        <f t="shared" si="1"/>
        <v>4</v>
      </c>
      <c r="I18" s="4">
        <f t="shared" si="1"/>
        <v>1</v>
      </c>
      <c r="J18" s="4">
        <f t="shared" si="1"/>
        <v>1</v>
      </c>
      <c r="K18" s="4">
        <f t="shared" si="1"/>
        <v>2</v>
      </c>
      <c r="L18" s="4" t="e">
        <f t="shared" si="1"/>
        <v>#REF!</v>
      </c>
      <c r="M18" s="4">
        <f t="shared" si="1"/>
        <v>2</v>
      </c>
      <c r="N18" s="4">
        <f t="shared" si="1"/>
        <v>2</v>
      </c>
      <c r="O18" s="4">
        <f t="shared" si="1"/>
        <v>4</v>
      </c>
      <c r="P18" s="4">
        <f t="shared" si="1"/>
        <v>5</v>
      </c>
      <c r="Q18" s="4">
        <f t="shared" si="1"/>
        <v>4</v>
      </c>
      <c r="R18" s="4">
        <f t="shared" si="1"/>
        <v>3</v>
      </c>
      <c r="S18" s="4">
        <f t="shared" si="1"/>
        <v>2</v>
      </c>
      <c r="T18" s="4">
        <f t="shared" si="1"/>
        <v>1</v>
      </c>
      <c r="U18" s="4">
        <f t="shared" si="1"/>
        <v>1</v>
      </c>
      <c r="V18" s="4">
        <f t="shared" si="1"/>
        <v>3</v>
      </c>
      <c r="W18" s="4">
        <f t="shared" si="1"/>
        <v>5</v>
      </c>
      <c r="X18" s="4">
        <f t="shared" si="1"/>
        <v>3</v>
      </c>
      <c r="Y18" s="4">
        <f t="shared" si="1"/>
        <v>3</v>
      </c>
      <c r="Z18" s="4">
        <f t="shared" si="1"/>
        <v>1</v>
      </c>
      <c r="AA18" s="4">
        <f t="shared" si="1"/>
        <v>2</v>
      </c>
      <c r="AB18" s="4">
        <f t="shared" si="1"/>
        <v>2</v>
      </c>
      <c r="AC18" s="4">
        <f t="shared" si="1"/>
        <v>2</v>
      </c>
      <c r="AD18" s="4">
        <f t="shared" si="1"/>
        <v>1</v>
      </c>
      <c r="AE18" s="4">
        <f t="shared" si="1"/>
        <v>2</v>
      </c>
      <c r="AF18" s="4">
        <f t="shared" si="1"/>
        <v>0</v>
      </c>
      <c r="AG18" s="4">
        <f t="shared" si="1"/>
        <v>0</v>
      </c>
    </row>
    <row r="19" spans="1:33" ht="85.5" customHeight="1">
      <c r="A19" s="2"/>
      <c r="B19" s="3" t="s">
        <v>123</v>
      </c>
      <c r="C19" s="2">
        <f t="shared" ref="C19:AG19" si="2">C29+C30+C35+C36</f>
        <v>2</v>
      </c>
      <c r="D19" s="2">
        <f t="shared" si="2"/>
        <v>3</v>
      </c>
      <c r="E19" s="4">
        <f t="shared" si="2"/>
        <v>2</v>
      </c>
      <c r="F19" s="4">
        <f t="shared" si="2"/>
        <v>2</v>
      </c>
      <c r="G19" s="4">
        <f t="shared" si="2"/>
        <v>2</v>
      </c>
      <c r="H19" s="4">
        <f t="shared" si="2"/>
        <v>3</v>
      </c>
      <c r="I19" s="4">
        <f t="shared" si="2"/>
        <v>3</v>
      </c>
      <c r="J19" s="4">
        <f t="shared" si="2"/>
        <v>3</v>
      </c>
      <c r="K19" s="4">
        <f t="shared" si="2"/>
        <v>3</v>
      </c>
      <c r="L19" s="4">
        <f t="shared" si="2"/>
        <v>4</v>
      </c>
      <c r="M19" s="4">
        <f t="shared" si="2"/>
        <v>4</v>
      </c>
      <c r="N19" s="4">
        <f t="shared" si="2"/>
        <v>4</v>
      </c>
      <c r="O19" s="4">
        <f t="shared" si="2"/>
        <v>4</v>
      </c>
      <c r="P19" s="4">
        <f t="shared" si="2"/>
        <v>4</v>
      </c>
      <c r="Q19" s="4">
        <f t="shared" si="2"/>
        <v>2</v>
      </c>
      <c r="R19" s="4">
        <f t="shared" si="2"/>
        <v>2</v>
      </c>
      <c r="S19" s="4">
        <f t="shared" si="2"/>
        <v>2</v>
      </c>
      <c r="T19" s="4">
        <f t="shared" si="2"/>
        <v>4</v>
      </c>
      <c r="U19" s="4">
        <f t="shared" si="2"/>
        <v>4</v>
      </c>
      <c r="V19" s="4">
        <f t="shared" si="2"/>
        <v>4</v>
      </c>
      <c r="W19" s="4">
        <f t="shared" si="2"/>
        <v>4</v>
      </c>
      <c r="X19" s="4">
        <f t="shared" si="2"/>
        <v>4</v>
      </c>
      <c r="Y19" s="4">
        <f t="shared" si="2"/>
        <v>4</v>
      </c>
      <c r="Z19" s="4">
        <f t="shared" si="2"/>
        <v>3</v>
      </c>
      <c r="AA19" s="4">
        <f t="shared" si="2"/>
        <v>2</v>
      </c>
      <c r="AB19" s="4">
        <f t="shared" si="2"/>
        <v>0</v>
      </c>
      <c r="AC19" s="4">
        <f t="shared" si="2"/>
        <v>0</v>
      </c>
      <c r="AD19" s="4">
        <f t="shared" si="2"/>
        <v>0</v>
      </c>
      <c r="AE19" s="4">
        <f t="shared" si="2"/>
        <v>1</v>
      </c>
      <c r="AF19" s="4">
        <f t="shared" si="2"/>
        <v>0</v>
      </c>
      <c r="AG19" s="4">
        <f t="shared" si="2"/>
        <v>0</v>
      </c>
    </row>
    <row r="20" spans="1:33" ht="85.5" customHeight="1">
      <c r="A20" s="2"/>
      <c r="B20" s="3" t="s">
        <v>124</v>
      </c>
      <c r="C20" s="2">
        <f t="shared" ref="C20:AG20" si="3">C38</f>
        <v>0</v>
      </c>
      <c r="D20" s="2">
        <f t="shared" si="3"/>
        <v>1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1</v>
      </c>
      <c r="K20" s="4">
        <f t="shared" si="3"/>
        <v>1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0</v>
      </c>
      <c r="P20" s="4">
        <f t="shared" si="3"/>
        <v>0</v>
      </c>
      <c r="Q20" s="4">
        <f t="shared" si="3"/>
        <v>0</v>
      </c>
      <c r="R20" s="4">
        <f t="shared" si="3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3"/>
        <v>0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0</v>
      </c>
      <c r="AA20" s="4">
        <f t="shared" si="3"/>
        <v>0</v>
      </c>
      <c r="AB20" s="4">
        <f t="shared" si="3"/>
        <v>0</v>
      </c>
      <c r="AC20" s="4">
        <f t="shared" si="3"/>
        <v>0</v>
      </c>
      <c r="AD20" s="4">
        <f t="shared" si="3"/>
        <v>0</v>
      </c>
      <c r="AE20" s="4">
        <f t="shared" si="3"/>
        <v>0</v>
      </c>
      <c r="AF20" s="4">
        <f t="shared" si="3"/>
        <v>0</v>
      </c>
      <c r="AG20" s="4">
        <f t="shared" si="3"/>
        <v>0</v>
      </c>
    </row>
    <row r="21" spans="1:33" ht="85.5" customHeight="1">
      <c r="C21" s="41" t="e">
        <f t="shared" ref="C21:AF21" si="4">SUM(C17:C20)</f>
        <v>#REF!</v>
      </c>
      <c r="D21" s="41">
        <f t="shared" si="4"/>
        <v>7</v>
      </c>
      <c r="E21" s="41">
        <f t="shared" si="4"/>
        <v>6</v>
      </c>
      <c r="F21" s="41">
        <f t="shared" si="4"/>
        <v>6</v>
      </c>
      <c r="G21" s="41">
        <f t="shared" si="4"/>
        <v>5</v>
      </c>
      <c r="H21" s="41">
        <f t="shared" si="4"/>
        <v>8</v>
      </c>
      <c r="I21" s="41">
        <f t="shared" si="4"/>
        <v>5</v>
      </c>
      <c r="J21" s="41">
        <f t="shared" si="4"/>
        <v>6</v>
      </c>
      <c r="K21" s="41">
        <f t="shared" si="4"/>
        <v>7</v>
      </c>
      <c r="L21" s="41" t="e">
        <f t="shared" si="4"/>
        <v>#REF!</v>
      </c>
      <c r="M21" s="41">
        <f t="shared" si="4"/>
        <v>7</v>
      </c>
      <c r="N21" s="41">
        <f t="shared" si="4"/>
        <v>7</v>
      </c>
      <c r="O21" s="41">
        <f t="shared" si="4"/>
        <v>8</v>
      </c>
      <c r="P21" s="41">
        <f t="shared" si="4"/>
        <v>9</v>
      </c>
      <c r="Q21" s="41">
        <f t="shared" si="4"/>
        <v>6</v>
      </c>
      <c r="R21" s="41">
        <f t="shared" si="4"/>
        <v>5</v>
      </c>
      <c r="S21" s="41">
        <f t="shared" si="4"/>
        <v>4</v>
      </c>
      <c r="T21" s="41">
        <f t="shared" si="4"/>
        <v>6</v>
      </c>
      <c r="U21" s="41">
        <f t="shared" si="4"/>
        <v>5</v>
      </c>
      <c r="V21" s="41">
        <f t="shared" si="4"/>
        <v>7</v>
      </c>
      <c r="W21" s="41">
        <f t="shared" si="4"/>
        <v>9</v>
      </c>
      <c r="X21" s="41">
        <f t="shared" si="4"/>
        <v>7</v>
      </c>
      <c r="Y21" s="41">
        <f t="shared" si="4"/>
        <v>7</v>
      </c>
      <c r="Z21" s="41">
        <f t="shared" si="4"/>
        <v>4</v>
      </c>
      <c r="AA21" s="41">
        <f t="shared" si="4"/>
        <v>4</v>
      </c>
      <c r="AB21" s="41">
        <f t="shared" si="4"/>
        <v>2</v>
      </c>
      <c r="AC21" s="41">
        <f t="shared" si="4"/>
        <v>2</v>
      </c>
      <c r="AD21" s="41">
        <f t="shared" si="4"/>
        <v>1</v>
      </c>
      <c r="AE21" s="41">
        <f t="shared" si="4"/>
        <v>3</v>
      </c>
      <c r="AF21" s="41">
        <f t="shared" si="4"/>
        <v>0</v>
      </c>
      <c r="AG21" s="41">
        <f t="shared" ref="AG21" si="5">SUM(AG17:AG20)</f>
        <v>0</v>
      </c>
    </row>
    <row r="22" spans="1:33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ht="71.099999999999994" customHeight="1"/>
    <row r="24" spans="1:33" ht="61.35" customHeight="1"/>
    <row r="26" spans="1:33" ht="42" customHeight="1">
      <c r="B26" s="42">
        <v>1</v>
      </c>
      <c r="C26" s="40">
        <f t="shared" ref="C26:AG34" si="6">IF(C3=1,1,0)</f>
        <v>0</v>
      </c>
      <c r="D26" s="40">
        <f t="shared" si="6"/>
        <v>0</v>
      </c>
      <c r="E26" s="40">
        <f t="shared" si="6"/>
        <v>1</v>
      </c>
      <c r="F26" s="40">
        <f t="shared" si="6"/>
        <v>1</v>
      </c>
      <c r="G26" s="40">
        <f t="shared" si="6"/>
        <v>1</v>
      </c>
      <c r="H26" s="40">
        <f t="shared" si="6"/>
        <v>1</v>
      </c>
      <c r="I26" s="40">
        <f t="shared" si="6"/>
        <v>1</v>
      </c>
      <c r="J26" s="40">
        <f t="shared" si="6"/>
        <v>1</v>
      </c>
      <c r="K26" s="40">
        <f t="shared" si="6"/>
        <v>1</v>
      </c>
      <c r="L26" s="40">
        <f t="shared" si="6"/>
        <v>0</v>
      </c>
      <c r="M26" s="40">
        <f t="shared" si="6"/>
        <v>0</v>
      </c>
      <c r="N26" s="40">
        <f t="shared" si="6"/>
        <v>0</v>
      </c>
      <c r="O26" s="40">
        <f t="shared" si="6"/>
        <v>1</v>
      </c>
      <c r="P26" s="40">
        <f t="shared" si="6"/>
        <v>1</v>
      </c>
      <c r="Q26" s="40">
        <f t="shared" si="6"/>
        <v>1</v>
      </c>
      <c r="R26" s="40">
        <f t="shared" si="6"/>
        <v>1</v>
      </c>
      <c r="S26" s="40">
        <f t="shared" si="6"/>
        <v>1</v>
      </c>
      <c r="T26" s="40">
        <f t="shared" si="6"/>
        <v>0</v>
      </c>
      <c r="U26" s="40">
        <f t="shared" si="6"/>
        <v>0</v>
      </c>
      <c r="V26" s="40">
        <f t="shared" si="6"/>
        <v>0</v>
      </c>
      <c r="W26" s="40">
        <f t="shared" si="6"/>
        <v>1</v>
      </c>
      <c r="X26" s="40">
        <f t="shared" si="6"/>
        <v>1</v>
      </c>
      <c r="Y26" s="40">
        <f t="shared" si="6"/>
        <v>1</v>
      </c>
      <c r="Z26" s="40">
        <f t="shared" si="6"/>
        <v>0</v>
      </c>
      <c r="AA26" s="40">
        <f t="shared" si="6"/>
        <v>0</v>
      </c>
      <c r="AB26" s="40">
        <f t="shared" si="6"/>
        <v>0</v>
      </c>
      <c r="AC26" s="40">
        <f t="shared" si="6"/>
        <v>0</v>
      </c>
      <c r="AD26" s="40">
        <f t="shared" si="6"/>
        <v>0</v>
      </c>
      <c r="AE26" s="40">
        <f t="shared" si="6"/>
        <v>1</v>
      </c>
      <c r="AF26" s="40">
        <f t="shared" si="6"/>
        <v>0</v>
      </c>
      <c r="AG26" s="40">
        <f t="shared" si="6"/>
        <v>0</v>
      </c>
    </row>
    <row r="27" spans="1:33" ht="42" customHeight="1">
      <c r="B27" s="42">
        <v>2</v>
      </c>
      <c r="C27" s="40">
        <f t="shared" si="6"/>
        <v>0</v>
      </c>
      <c r="D27" s="40">
        <f t="shared" si="6"/>
        <v>1</v>
      </c>
      <c r="E27" s="40">
        <f t="shared" si="6"/>
        <v>1</v>
      </c>
      <c r="F27" s="40">
        <f t="shared" si="6"/>
        <v>1</v>
      </c>
      <c r="G27" s="40">
        <f t="shared" si="6"/>
        <v>0</v>
      </c>
      <c r="H27" s="40">
        <f t="shared" si="6"/>
        <v>0</v>
      </c>
      <c r="I27" s="40">
        <f t="shared" si="6"/>
        <v>0</v>
      </c>
      <c r="J27" s="40">
        <f t="shared" si="6"/>
        <v>0</v>
      </c>
      <c r="K27" s="40">
        <f t="shared" si="6"/>
        <v>1</v>
      </c>
      <c r="L27" s="40">
        <f t="shared" si="6"/>
        <v>1</v>
      </c>
      <c r="M27" s="40">
        <f t="shared" si="6"/>
        <v>1</v>
      </c>
      <c r="N27" s="40">
        <f t="shared" si="6"/>
        <v>1</v>
      </c>
      <c r="O27" s="40">
        <f t="shared" si="6"/>
        <v>1</v>
      </c>
      <c r="P27" s="40">
        <f t="shared" si="6"/>
        <v>0</v>
      </c>
      <c r="Q27" s="40">
        <f t="shared" si="6"/>
        <v>0</v>
      </c>
      <c r="R27" s="40">
        <f t="shared" si="6"/>
        <v>0</v>
      </c>
      <c r="S27" s="40">
        <f t="shared" si="6"/>
        <v>0</v>
      </c>
      <c r="T27" s="40">
        <f t="shared" si="6"/>
        <v>0</v>
      </c>
      <c r="U27" s="40">
        <f t="shared" si="6"/>
        <v>0</v>
      </c>
      <c r="V27" s="40">
        <f t="shared" si="6"/>
        <v>1</v>
      </c>
      <c r="W27" s="40">
        <f t="shared" si="6"/>
        <v>1</v>
      </c>
      <c r="X27" s="40">
        <f t="shared" si="6"/>
        <v>0</v>
      </c>
      <c r="Y27" s="40">
        <f t="shared" si="6"/>
        <v>0</v>
      </c>
      <c r="Z27" s="40">
        <f t="shared" si="6"/>
        <v>0</v>
      </c>
      <c r="AA27" s="40">
        <f t="shared" si="6"/>
        <v>0</v>
      </c>
      <c r="AB27" s="40">
        <f t="shared" si="6"/>
        <v>0</v>
      </c>
      <c r="AC27" s="40">
        <f t="shared" si="6"/>
        <v>0</v>
      </c>
      <c r="AD27" s="40">
        <f t="shared" si="6"/>
        <v>0</v>
      </c>
      <c r="AE27" s="40">
        <f t="shared" si="6"/>
        <v>0</v>
      </c>
      <c r="AF27" s="40">
        <f t="shared" si="6"/>
        <v>0</v>
      </c>
      <c r="AG27" s="40">
        <f t="shared" si="6"/>
        <v>0</v>
      </c>
    </row>
    <row r="28" spans="1:33" ht="42" customHeight="1">
      <c r="B28" s="43">
        <v>3</v>
      </c>
      <c r="C28" s="40">
        <f t="shared" si="6"/>
        <v>0</v>
      </c>
      <c r="D28" s="40">
        <f t="shared" si="6"/>
        <v>1</v>
      </c>
      <c r="E28" s="40">
        <f t="shared" si="6"/>
        <v>0</v>
      </c>
      <c r="F28" s="40">
        <f t="shared" si="6"/>
        <v>0</v>
      </c>
      <c r="G28" s="40">
        <f t="shared" si="6"/>
        <v>0</v>
      </c>
      <c r="H28" s="40">
        <f t="shared" si="6"/>
        <v>0</v>
      </c>
      <c r="I28" s="40">
        <f t="shared" si="6"/>
        <v>1</v>
      </c>
      <c r="J28" s="40">
        <f t="shared" si="6"/>
        <v>1</v>
      </c>
      <c r="K28" s="40">
        <f t="shared" si="6"/>
        <v>1</v>
      </c>
      <c r="L28" s="40">
        <f t="shared" si="6"/>
        <v>0</v>
      </c>
      <c r="M28" s="40">
        <f t="shared" si="6"/>
        <v>0</v>
      </c>
      <c r="N28" s="40">
        <f t="shared" si="6"/>
        <v>0</v>
      </c>
      <c r="O28" s="40">
        <f t="shared" si="6"/>
        <v>0</v>
      </c>
      <c r="P28" s="40">
        <f t="shared" si="6"/>
        <v>0</v>
      </c>
      <c r="Q28" s="40">
        <f t="shared" si="6"/>
        <v>0</v>
      </c>
      <c r="R28" s="40">
        <f t="shared" si="6"/>
        <v>0</v>
      </c>
      <c r="S28" s="40">
        <f t="shared" si="6"/>
        <v>0</v>
      </c>
      <c r="T28" s="40">
        <f t="shared" si="6"/>
        <v>0</v>
      </c>
      <c r="U28" s="40">
        <f t="shared" si="6"/>
        <v>0</v>
      </c>
      <c r="V28" s="40">
        <f t="shared" si="6"/>
        <v>0</v>
      </c>
      <c r="W28" s="40">
        <f t="shared" si="6"/>
        <v>0</v>
      </c>
      <c r="X28" s="40">
        <f t="shared" si="6"/>
        <v>0</v>
      </c>
      <c r="Y28" s="40">
        <f t="shared" si="6"/>
        <v>0</v>
      </c>
      <c r="Z28" s="40">
        <f t="shared" si="6"/>
        <v>0</v>
      </c>
      <c r="AA28" s="40">
        <f t="shared" si="6"/>
        <v>0</v>
      </c>
      <c r="AB28" s="40">
        <f t="shared" si="6"/>
        <v>0</v>
      </c>
      <c r="AC28" s="40">
        <f t="shared" si="6"/>
        <v>0</v>
      </c>
      <c r="AD28" s="40">
        <f t="shared" si="6"/>
        <v>0</v>
      </c>
      <c r="AE28" s="40">
        <f t="shared" si="6"/>
        <v>0</v>
      </c>
      <c r="AF28" s="40">
        <f t="shared" si="6"/>
        <v>0</v>
      </c>
      <c r="AG28" s="40">
        <f t="shared" si="6"/>
        <v>0</v>
      </c>
    </row>
    <row r="29" spans="1:33" ht="42" customHeight="1">
      <c r="B29" s="44">
        <v>4</v>
      </c>
      <c r="C29" s="40">
        <f t="shared" si="6"/>
        <v>0</v>
      </c>
      <c r="D29" s="40">
        <f t="shared" si="6"/>
        <v>0</v>
      </c>
      <c r="E29" s="40">
        <f t="shared" si="6"/>
        <v>0</v>
      </c>
      <c r="F29" s="40">
        <f t="shared" si="6"/>
        <v>0</v>
      </c>
      <c r="G29" s="40">
        <f t="shared" ref="G29:X29" si="7">IF(G6=1,1,0)</f>
        <v>0</v>
      </c>
      <c r="H29" s="40">
        <f t="shared" si="7"/>
        <v>1</v>
      </c>
      <c r="I29" s="40">
        <f t="shared" si="7"/>
        <v>1</v>
      </c>
      <c r="J29" s="40">
        <f t="shared" si="7"/>
        <v>1</v>
      </c>
      <c r="K29" s="40">
        <f t="shared" si="7"/>
        <v>1</v>
      </c>
      <c r="L29" s="40">
        <f t="shared" si="7"/>
        <v>1</v>
      </c>
      <c r="M29" s="40">
        <f t="shared" si="7"/>
        <v>1</v>
      </c>
      <c r="N29" s="40">
        <f t="shared" si="7"/>
        <v>1</v>
      </c>
      <c r="O29" s="40">
        <f t="shared" si="7"/>
        <v>1</v>
      </c>
      <c r="P29" s="40">
        <f t="shared" si="7"/>
        <v>1</v>
      </c>
      <c r="Q29" s="40">
        <f t="shared" si="7"/>
        <v>0</v>
      </c>
      <c r="R29" s="40">
        <f t="shared" si="7"/>
        <v>0</v>
      </c>
      <c r="S29" s="40">
        <f t="shared" si="7"/>
        <v>0</v>
      </c>
      <c r="T29" s="40">
        <f t="shared" si="7"/>
        <v>1</v>
      </c>
      <c r="U29" s="40">
        <f t="shared" si="7"/>
        <v>1</v>
      </c>
      <c r="V29" s="40">
        <f t="shared" si="7"/>
        <v>1</v>
      </c>
      <c r="W29" s="40">
        <f t="shared" si="7"/>
        <v>1</v>
      </c>
      <c r="X29" s="40">
        <f t="shared" si="7"/>
        <v>1</v>
      </c>
      <c r="Y29" s="40">
        <f t="shared" si="6"/>
        <v>1</v>
      </c>
      <c r="Z29" s="40">
        <f t="shared" si="6"/>
        <v>1</v>
      </c>
      <c r="AA29" s="40">
        <f t="shared" si="6"/>
        <v>1</v>
      </c>
      <c r="AB29" s="40">
        <f t="shared" si="6"/>
        <v>0</v>
      </c>
      <c r="AC29" s="40">
        <f t="shared" si="6"/>
        <v>0</v>
      </c>
      <c r="AD29" s="40">
        <f t="shared" si="6"/>
        <v>0</v>
      </c>
      <c r="AE29" s="40">
        <f t="shared" si="6"/>
        <v>1</v>
      </c>
      <c r="AF29" s="40">
        <f t="shared" si="6"/>
        <v>0</v>
      </c>
      <c r="AG29" s="40">
        <f t="shared" si="6"/>
        <v>0</v>
      </c>
    </row>
    <row r="30" spans="1:33" ht="42" customHeight="1">
      <c r="B30" s="44">
        <v>5</v>
      </c>
      <c r="C30" s="40">
        <f t="shared" si="6"/>
        <v>0</v>
      </c>
      <c r="D30" s="40">
        <f t="shared" si="6"/>
        <v>1</v>
      </c>
      <c r="E30" s="40">
        <f t="shared" si="6"/>
        <v>1</v>
      </c>
      <c r="F30" s="40">
        <f t="shared" si="6"/>
        <v>1</v>
      </c>
      <c r="G30" s="40">
        <f t="shared" ref="G30:X30" si="8">IF(G7=1,1,0)</f>
        <v>1</v>
      </c>
      <c r="H30" s="40">
        <f t="shared" si="8"/>
        <v>1</v>
      </c>
      <c r="I30" s="40">
        <f t="shared" si="8"/>
        <v>0</v>
      </c>
      <c r="J30" s="40">
        <f t="shared" si="8"/>
        <v>0</v>
      </c>
      <c r="K30" s="40">
        <f t="shared" si="8"/>
        <v>0</v>
      </c>
      <c r="L30" s="40">
        <f t="shared" si="8"/>
        <v>1</v>
      </c>
      <c r="M30" s="40">
        <f t="shared" si="8"/>
        <v>1</v>
      </c>
      <c r="N30" s="40">
        <f t="shared" si="8"/>
        <v>1</v>
      </c>
      <c r="O30" s="40">
        <f t="shared" si="8"/>
        <v>1</v>
      </c>
      <c r="P30" s="40">
        <f t="shared" si="8"/>
        <v>1</v>
      </c>
      <c r="Q30" s="40">
        <f t="shared" si="8"/>
        <v>0</v>
      </c>
      <c r="R30" s="40">
        <f t="shared" si="8"/>
        <v>0</v>
      </c>
      <c r="S30" s="40">
        <f t="shared" si="8"/>
        <v>0</v>
      </c>
      <c r="T30" s="40">
        <f t="shared" si="8"/>
        <v>1</v>
      </c>
      <c r="U30" s="40">
        <f t="shared" si="8"/>
        <v>1</v>
      </c>
      <c r="V30" s="40">
        <f t="shared" si="8"/>
        <v>1</v>
      </c>
      <c r="W30" s="40">
        <f t="shared" si="8"/>
        <v>1</v>
      </c>
      <c r="X30" s="40">
        <f t="shared" si="8"/>
        <v>1</v>
      </c>
      <c r="Y30" s="40">
        <f t="shared" si="6"/>
        <v>1</v>
      </c>
      <c r="Z30" s="40">
        <f t="shared" si="6"/>
        <v>0</v>
      </c>
      <c r="AA30" s="40">
        <f t="shared" si="6"/>
        <v>0</v>
      </c>
      <c r="AB30" s="40">
        <f t="shared" si="6"/>
        <v>0</v>
      </c>
      <c r="AC30" s="40">
        <f t="shared" si="6"/>
        <v>0</v>
      </c>
      <c r="AD30" s="40">
        <f t="shared" si="6"/>
        <v>0</v>
      </c>
      <c r="AE30" s="40">
        <f t="shared" si="6"/>
        <v>0</v>
      </c>
      <c r="AF30" s="40">
        <f t="shared" si="6"/>
        <v>0</v>
      </c>
      <c r="AG30" s="40">
        <f t="shared" si="6"/>
        <v>0</v>
      </c>
    </row>
    <row r="31" spans="1:33" ht="42" customHeight="1">
      <c r="B31" s="42">
        <v>6</v>
      </c>
      <c r="C31" s="40" t="e">
        <f>IF(#REF!=1,1,0)</f>
        <v>#REF!</v>
      </c>
      <c r="D31" s="40">
        <f>IF(C8=1,1,0)</f>
        <v>0</v>
      </c>
      <c r="E31" s="40">
        <f t="shared" si="6"/>
        <v>0</v>
      </c>
      <c r="F31" s="40">
        <f t="shared" si="6"/>
        <v>0</v>
      </c>
      <c r="G31" s="40">
        <f t="shared" ref="G31:X31" si="9">IF(G8=1,1,0)</f>
        <v>0</v>
      </c>
      <c r="H31" s="40">
        <f t="shared" si="9"/>
        <v>0</v>
      </c>
      <c r="I31" s="40">
        <f t="shared" si="9"/>
        <v>0</v>
      </c>
      <c r="J31" s="40">
        <f t="shared" si="9"/>
        <v>0</v>
      </c>
      <c r="K31" s="40">
        <f t="shared" si="9"/>
        <v>0</v>
      </c>
      <c r="L31" s="40">
        <f t="shared" si="9"/>
        <v>0</v>
      </c>
      <c r="M31" s="40">
        <f t="shared" si="9"/>
        <v>0</v>
      </c>
      <c r="N31" s="40">
        <f t="shared" si="9"/>
        <v>0</v>
      </c>
      <c r="O31" s="40">
        <f t="shared" si="9"/>
        <v>1</v>
      </c>
      <c r="P31" s="40">
        <f t="shared" si="9"/>
        <v>1</v>
      </c>
      <c r="Q31" s="40">
        <f t="shared" si="9"/>
        <v>0</v>
      </c>
      <c r="R31" s="40">
        <f t="shared" si="9"/>
        <v>0</v>
      </c>
      <c r="S31" s="40">
        <f t="shared" si="9"/>
        <v>0</v>
      </c>
      <c r="T31" s="40">
        <f t="shared" si="9"/>
        <v>0</v>
      </c>
      <c r="U31" s="40">
        <f t="shared" si="9"/>
        <v>0</v>
      </c>
      <c r="V31" s="40">
        <f t="shared" si="9"/>
        <v>0</v>
      </c>
      <c r="W31" s="40">
        <f t="shared" si="9"/>
        <v>0</v>
      </c>
      <c r="X31" s="40">
        <f t="shared" si="9"/>
        <v>0</v>
      </c>
      <c r="Y31" s="40">
        <f t="shared" si="6"/>
        <v>0</v>
      </c>
      <c r="Z31" s="40">
        <f t="shared" si="6"/>
        <v>0</v>
      </c>
      <c r="AA31" s="40">
        <f t="shared" si="6"/>
        <v>1</v>
      </c>
      <c r="AB31" s="40">
        <f t="shared" si="6"/>
        <v>1</v>
      </c>
      <c r="AC31" s="40">
        <f t="shared" si="6"/>
        <v>1</v>
      </c>
      <c r="AD31" s="40">
        <f t="shared" si="6"/>
        <v>1</v>
      </c>
      <c r="AE31" s="40">
        <f t="shared" si="6"/>
        <v>1</v>
      </c>
      <c r="AF31" s="40">
        <f t="shared" si="6"/>
        <v>0</v>
      </c>
      <c r="AG31" s="40">
        <f t="shared" si="6"/>
        <v>0</v>
      </c>
    </row>
    <row r="32" spans="1:33" ht="42" customHeight="1">
      <c r="B32" s="42">
        <v>7</v>
      </c>
      <c r="C32" s="40">
        <f t="shared" si="6"/>
        <v>0</v>
      </c>
      <c r="D32" s="40">
        <f t="shared" si="6"/>
        <v>0</v>
      </c>
      <c r="E32" s="40">
        <f t="shared" si="6"/>
        <v>1</v>
      </c>
      <c r="F32" s="40">
        <f t="shared" si="6"/>
        <v>1</v>
      </c>
      <c r="G32" s="40">
        <f t="shared" ref="G32:X32" si="10">IF(G9=1,1,0)</f>
        <v>1</v>
      </c>
      <c r="H32" s="40">
        <f t="shared" si="10"/>
        <v>1</v>
      </c>
      <c r="I32" s="40">
        <f t="shared" si="10"/>
        <v>0</v>
      </c>
      <c r="J32" s="40">
        <f t="shared" si="10"/>
        <v>0</v>
      </c>
      <c r="K32" s="40">
        <f t="shared" si="10"/>
        <v>0</v>
      </c>
      <c r="L32" s="40" t="e">
        <f>IF(#REF!=1,1,0)</f>
        <v>#REF!</v>
      </c>
      <c r="M32" s="40">
        <f>IF(L9=1,1,0)</f>
        <v>0</v>
      </c>
      <c r="N32" s="40">
        <f t="shared" si="10"/>
        <v>0</v>
      </c>
      <c r="O32" s="40">
        <f t="shared" si="10"/>
        <v>0</v>
      </c>
      <c r="P32" s="40">
        <f t="shared" si="10"/>
        <v>1</v>
      </c>
      <c r="Q32" s="40">
        <f t="shared" si="10"/>
        <v>1</v>
      </c>
      <c r="R32" s="40">
        <f t="shared" si="10"/>
        <v>1</v>
      </c>
      <c r="S32" s="40">
        <f t="shared" si="10"/>
        <v>0</v>
      </c>
      <c r="T32" s="40">
        <f t="shared" si="10"/>
        <v>0</v>
      </c>
      <c r="U32" s="40">
        <f t="shared" si="10"/>
        <v>0</v>
      </c>
      <c r="V32" s="40">
        <f t="shared" si="10"/>
        <v>1</v>
      </c>
      <c r="W32" s="40">
        <f t="shared" si="10"/>
        <v>1</v>
      </c>
      <c r="X32" s="40">
        <f t="shared" si="10"/>
        <v>0</v>
      </c>
      <c r="Y32" s="40">
        <f t="shared" si="6"/>
        <v>0</v>
      </c>
      <c r="Z32" s="40">
        <f t="shared" si="6"/>
        <v>0</v>
      </c>
      <c r="AA32" s="40">
        <f t="shared" si="6"/>
        <v>0</v>
      </c>
      <c r="AB32" s="40">
        <f t="shared" si="6"/>
        <v>0</v>
      </c>
      <c r="AC32" s="40">
        <f t="shared" si="6"/>
        <v>0</v>
      </c>
      <c r="AD32" s="40">
        <f t="shared" si="6"/>
        <v>0</v>
      </c>
      <c r="AE32" s="40">
        <f t="shared" si="6"/>
        <v>0</v>
      </c>
      <c r="AF32" s="40">
        <f t="shared" si="6"/>
        <v>0</v>
      </c>
      <c r="AG32" s="40">
        <f t="shared" si="6"/>
        <v>0</v>
      </c>
    </row>
    <row r="33" spans="2:33" ht="42" customHeight="1">
      <c r="B33" s="42">
        <v>8</v>
      </c>
      <c r="C33" s="40">
        <f t="shared" si="6"/>
        <v>0</v>
      </c>
      <c r="D33" s="40">
        <f t="shared" si="6"/>
        <v>0</v>
      </c>
      <c r="E33" s="40">
        <f t="shared" si="6"/>
        <v>0</v>
      </c>
      <c r="F33" s="40">
        <f t="shared" si="6"/>
        <v>0</v>
      </c>
      <c r="G33" s="40">
        <f t="shared" ref="G33:X33" si="11">IF(G10=1,1,0)</f>
        <v>0</v>
      </c>
      <c r="H33" s="40">
        <f t="shared" si="11"/>
        <v>1</v>
      </c>
      <c r="I33" s="40">
        <f t="shared" si="11"/>
        <v>0</v>
      </c>
      <c r="J33" s="40">
        <f t="shared" si="11"/>
        <v>0</v>
      </c>
      <c r="K33" s="40">
        <f t="shared" si="11"/>
        <v>0</v>
      </c>
      <c r="L33" s="40">
        <f t="shared" si="11"/>
        <v>0</v>
      </c>
      <c r="M33" s="40">
        <f t="shared" si="11"/>
        <v>0</v>
      </c>
      <c r="N33" s="40">
        <f t="shared" si="11"/>
        <v>0</v>
      </c>
      <c r="O33" s="40">
        <f t="shared" si="11"/>
        <v>0</v>
      </c>
      <c r="P33" s="40">
        <f t="shared" si="11"/>
        <v>1</v>
      </c>
      <c r="Q33" s="40">
        <f t="shared" si="11"/>
        <v>1</v>
      </c>
      <c r="R33" s="40">
        <f t="shared" si="11"/>
        <v>1</v>
      </c>
      <c r="S33" s="40">
        <f t="shared" si="11"/>
        <v>1</v>
      </c>
      <c r="T33" s="40">
        <f t="shared" si="11"/>
        <v>1</v>
      </c>
      <c r="U33" s="40">
        <f t="shared" si="11"/>
        <v>1</v>
      </c>
      <c r="V33" s="40">
        <f t="shared" si="11"/>
        <v>1</v>
      </c>
      <c r="W33" s="40">
        <f t="shared" si="11"/>
        <v>1</v>
      </c>
      <c r="X33" s="40">
        <f t="shared" si="11"/>
        <v>1</v>
      </c>
      <c r="Y33" s="40">
        <f t="shared" si="6"/>
        <v>1</v>
      </c>
      <c r="Z33" s="40">
        <f t="shared" si="6"/>
        <v>0</v>
      </c>
      <c r="AA33" s="40">
        <f t="shared" si="6"/>
        <v>0</v>
      </c>
      <c r="AB33" s="40">
        <f t="shared" si="6"/>
        <v>0</v>
      </c>
      <c r="AC33" s="40">
        <f t="shared" si="6"/>
        <v>0</v>
      </c>
      <c r="AD33" s="40">
        <f t="shared" si="6"/>
        <v>0</v>
      </c>
      <c r="AE33" s="40">
        <f t="shared" si="6"/>
        <v>0</v>
      </c>
      <c r="AF33" s="40">
        <f t="shared" si="6"/>
        <v>0</v>
      </c>
      <c r="AG33" s="40">
        <f t="shared" si="6"/>
        <v>0</v>
      </c>
    </row>
    <row r="34" spans="2:33" ht="42" customHeight="1">
      <c r="B34" s="43">
        <v>9</v>
      </c>
      <c r="C34" s="40">
        <f t="shared" si="6"/>
        <v>0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ref="G34:X34" si="12">IF(G11=1,1,0)</f>
        <v>0</v>
      </c>
      <c r="H34" s="40">
        <f t="shared" si="12"/>
        <v>1</v>
      </c>
      <c r="I34" s="40">
        <f t="shared" si="12"/>
        <v>0</v>
      </c>
      <c r="J34" s="40">
        <f t="shared" si="12"/>
        <v>0</v>
      </c>
      <c r="K34" s="40">
        <f t="shared" si="12"/>
        <v>0</v>
      </c>
      <c r="L34" s="40">
        <f t="shared" si="12"/>
        <v>0</v>
      </c>
      <c r="M34" s="40">
        <f t="shared" si="12"/>
        <v>0</v>
      </c>
      <c r="N34" s="40">
        <f t="shared" si="12"/>
        <v>0</v>
      </c>
      <c r="O34" s="40">
        <f t="shared" si="12"/>
        <v>0</v>
      </c>
      <c r="P34" s="40">
        <f t="shared" si="12"/>
        <v>0</v>
      </c>
      <c r="Q34" s="40">
        <f t="shared" si="12"/>
        <v>0</v>
      </c>
      <c r="R34" s="40">
        <f t="shared" si="12"/>
        <v>0</v>
      </c>
      <c r="S34" s="40">
        <f t="shared" si="12"/>
        <v>0</v>
      </c>
      <c r="T34" s="40">
        <f t="shared" si="12"/>
        <v>1</v>
      </c>
      <c r="U34" s="40">
        <f t="shared" si="12"/>
        <v>0</v>
      </c>
      <c r="V34" s="40">
        <f t="shared" si="12"/>
        <v>0</v>
      </c>
      <c r="W34" s="40">
        <f t="shared" si="12"/>
        <v>0</v>
      </c>
      <c r="X34" s="40">
        <f t="shared" si="12"/>
        <v>0</v>
      </c>
      <c r="Y34" s="40">
        <f t="shared" ref="Y34:AG38" si="13">IF(Y11=1,1,0)</f>
        <v>0</v>
      </c>
      <c r="Z34" s="40">
        <f t="shared" si="13"/>
        <v>0</v>
      </c>
      <c r="AA34" s="40">
        <f t="shared" si="13"/>
        <v>0</v>
      </c>
      <c r="AB34" s="40">
        <f t="shared" si="13"/>
        <v>0</v>
      </c>
      <c r="AC34" s="40">
        <f t="shared" si="13"/>
        <v>0</v>
      </c>
      <c r="AD34" s="40">
        <f t="shared" si="13"/>
        <v>0</v>
      </c>
      <c r="AE34" s="40">
        <f t="shared" si="13"/>
        <v>0</v>
      </c>
      <c r="AF34" s="40">
        <f t="shared" si="13"/>
        <v>0</v>
      </c>
      <c r="AG34" s="40">
        <f t="shared" si="13"/>
        <v>0</v>
      </c>
    </row>
    <row r="35" spans="2:33" ht="42" customHeight="1">
      <c r="B35" s="44">
        <v>10</v>
      </c>
      <c r="C35" s="40">
        <f t="shared" ref="C35:AF38" si="14">IF(C12=1,1,0)</f>
        <v>1</v>
      </c>
      <c r="D35" s="40">
        <f t="shared" si="14"/>
        <v>1</v>
      </c>
      <c r="E35" s="40">
        <f t="shared" si="14"/>
        <v>0</v>
      </c>
      <c r="F35" s="40">
        <f t="shared" si="14"/>
        <v>0</v>
      </c>
      <c r="G35" s="40">
        <f t="shared" si="14"/>
        <v>0</v>
      </c>
      <c r="H35" s="40">
        <f t="shared" si="14"/>
        <v>0</v>
      </c>
      <c r="I35" s="40">
        <f t="shared" si="14"/>
        <v>1</v>
      </c>
      <c r="J35" s="40">
        <f t="shared" si="14"/>
        <v>1</v>
      </c>
      <c r="K35" s="40">
        <f t="shared" si="14"/>
        <v>1</v>
      </c>
      <c r="L35" s="40">
        <f t="shared" si="14"/>
        <v>1</v>
      </c>
      <c r="M35" s="40">
        <f t="shared" si="14"/>
        <v>1</v>
      </c>
      <c r="N35" s="40">
        <f t="shared" si="14"/>
        <v>1</v>
      </c>
      <c r="O35" s="40">
        <f t="shared" si="14"/>
        <v>1</v>
      </c>
      <c r="P35" s="40">
        <f t="shared" si="14"/>
        <v>1</v>
      </c>
      <c r="Q35" s="40">
        <f t="shared" si="14"/>
        <v>1</v>
      </c>
      <c r="R35" s="40">
        <f t="shared" si="14"/>
        <v>1</v>
      </c>
      <c r="S35" s="40">
        <f t="shared" si="14"/>
        <v>1</v>
      </c>
      <c r="T35" s="40">
        <f t="shared" si="14"/>
        <v>1</v>
      </c>
      <c r="U35" s="40">
        <f t="shared" si="14"/>
        <v>1</v>
      </c>
      <c r="V35" s="40">
        <f t="shared" si="14"/>
        <v>1</v>
      </c>
      <c r="W35" s="40">
        <f t="shared" si="14"/>
        <v>1</v>
      </c>
      <c r="X35" s="40">
        <f t="shared" si="14"/>
        <v>1</v>
      </c>
      <c r="Y35" s="40">
        <f t="shared" si="14"/>
        <v>1</v>
      </c>
      <c r="Z35" s="40">
        <f t="shared" si="14"/>
        <v>1</v>
      </c>
      <c r="AA35" s="40">
        <f t="shared" si="14"/>
        <v>1</v>
      </c>
      <c r="AB35" s="40">
        <f t="shared" si="14"/>
        <v>0</v>
      </c>
      <c r="AC35" s="40">
        <f t="shared" si="14"/>
        <v>0</v>
      </c>
      <c r="AD35" s="40">
        <f t="shared" si="14"/>
        <v>0</v>
      </c>
      <c r="AE35" s="40">
        <f t="shared" si="14"/>
        <v>0</v>
      </c>
      <c r="AF35" s="40">
        <f t="shared" si="14"/>
        <v>0</v>
      </c>
      <c r="AG35" s="40">
        <f t="shared" si="13"/>
        <v>0</v>
      </c>
    </row>
    <row r="36" spans="2:33" ht="42" customHeight="1">
      <c r="B36" s="44">
        <v>11</v>
      </c>
      <c r="C36" s="40">
        <f t="shared" si="14"/>
        <v>1</v>
      </c>
      <c r="D36" s="40">
        <f t="shared" si="14"/>
        <v>1</v>
      </c>
      <c r="E36" s="40">
        <f t="shared" si="14"/>
        <v>1</v>
      </c>
      <c r="F36" s="40">
        <f t="shared" si="14"/>
        <v>1</v>
      </c>
      <c r="G36" s="40">
        <f t="shared" si="14"/>
        <v>1</v>
      </c>
      <c r="H36" s="40">
        <f t="shared" si="14"/>
        <v>1</v>
      </c>
      <c r="I36" s="40">
        <f t="shared" si="14"/>
        <v>1</v>
      </c>
      <c r="J36" s="40">
        <f t="shared" si="14"/>
        <v>1</v>
      </c>
      <c r="K36" s="40">
        <f t="shared" si="14"/>
        <v>1</v>
      </c>
      <c r="L36" s="40">
        <f t="shared" si="14"/>
        <v>1</v>
      </c>
      <c r="M36" s="40">
        <f t="shared" si="14"/>
        <v>1</v>
      </c>
      <c r="N36" s="40">
        <f t="shared" si="14"/>
        <v>1</v>
      </c>
      <c r="O36" s="40">
        <f t="shared" si="14"/>
        <v>1</v>
      </c>
      <c r="P36" s="40">
        <f t="shared" si="14"/>
        <v>1</v>
      </c>
      <c r="Q36" s="40">
        <f t="shared" si="14"/>
        <v>1</v>
      </c>
      <c r="R36" s="40">
        <f t="shared" si="14"/>
        <v>1</v>
      </c>
      <c r="S36" s="40">
        <f t="shared" si="14"/>
        <v>1</v>
      </c>
      <c r="T36" s="40">
        <f t="shared" si="14"/>
        <v>1</v>
      </c>
      <c r="U36" s="40">
        <f t="shared" si="14"/>
        <v>1</v>
      </c>
      <c r="V36" s="40">
        <f t="shared" si="14"/>
        <v>1</v>
      </c>
      <c r="W36" s="40">
        <f t="shared" si="14"/>
        <v>1</v>
      </c>
      <c r="X36" s="40">
        <f t="shared" si="14"/>
        <v>1</v>
      </c>
      <c r="Y36" s="40">
        <f t="shared" si="14"/>
        <v>1</v>
      </c>
      <c r="Z36" s="40">
        <f t="shared" si="14"/>
        <v>1</v>
      </c>
      <c r="AA36" s="40">
        <f t="shared" si="14"/>
        <v>0</v>
      </c>
      <c r="AB36" s="40">
        <f t="shared" si="14"/>
        <v>0</v>
      </c>
      <c r="AC36" s="40">
        <f t="shared" si="14"/>
        <v>0</v>
      </c>
      <c r="AD36" s="40">
        <f t="shared" si="14"/>
        <v>0</v>
      </c>
      <c r="AE36" s="40">
        <f t="shared" si="14"/>
        <v>0</v>
      </c>
      <c r="AF36" s="40">
        <f t="shared" si="14"/>
        <v>0</v>
      </c>
      <c r="AG36" s="40">
        <f t="shared" si="13"/>
        <v>0</v>
      </c>
    </row>
    <row r="37" spans="2:33" ht="42" customHeight="1">
      <c r="B37" s="42">
        <v>12</v>
      </c>
      <c r="C37" s="40">
        <f t="shared" si="14"/>
        <v>0</v>
      </c>
      <c r="D37" s="40">
        <f t="shared" si="14"/>
        <v>1</v>
      </c>
      <c r="E37" s="40">
        <f t="shared" si="14"/>
        <v>1</v>
      </c>
      <c r="F37" s="40">
        <f t="shared" si="14"/>
        <v>1</v>
      </c>
      <c r="G37" s="40">
        <f t="shared" si="14"/>
        <v>1</v>
      </c>
      <c r="H37" s="40">
        <f t="shared" si="14"/>
        <v>1</v>
      </c>
      <c r="I37" s="40">
        <f t="shared" si="14"/>
        <v>0</v>
      </c>
      <c r="J37" s="40">
        <f t="shared" si="14"/>
        <v>0</v>
      </c>
      <c r="K37" s="40">
        <f t="shared" si="14"/>
        <v>0</v>
      </c>
      <c r="L37" s="40">
        <f t="shared" si="14"/>
        <v>0</v>
      </c>
      <c r="M37" s="40">
        <f t="shared" si="14"/>
        <v>1</v>
      </c>
      <c r="N37" s="40">
        <f t="shared" si="14"/>
        <v>1</v>
      </c>
      <c r="O37" s="40">
        <f t="shared" si="14"/>
        <v>1</v>
      </c>
      <c r="P37" s="40">
        <f t="shared" si="14"/>
        <v>1</v>
      </c>
      <c r="Q37" s="40">
        <f t="shared" si="14"/>
        <v>1</v>
      </c>
      <c r="R37" s="40">
        <f t="shared" si="14"/>
        <v>0</v>
      </c>
      <c r="S37" s="40">
        <f t="shared" si="14"/>
        <v>0</v>
      </c>
      <c r="T37" s="40">
        <f t="shared" si="14"/>
        <v>0</v>
      </c>
      <c r="U37" s="40">
        <f t="shared" si="14"/>
        <v>0</v>
      </c>
      <c r="V37" s="40">
        <f t="shared" si="14"/>
        <v>0</v>
      </c>
      <c r="W37" s="40">
        <f t="shared" si="14"/>
        <v>1</v>
      </c>
      <c r="X37" s="40">
        <f t="shared" si="14"/>
        <v>1</v>
      </c>
      <c r="Y37" s="40">
        <f t="shared" si="14"/>
        <v>1</v>
      </c>
      <c r="Z37" s="40">
        <f t="shared" si="14"/>
        <v>1</v>
      </c>
      <c r="AA37" s="40">
        <f t="shared" si="14"/>
        <v>1</v>
      </c>
      <c r="AB37" s="40">
        <f t="shared" si="14"/>
        <v>1</v>
      </c>
      <c r="AC37" s="40">
        <f t="shared" si="14"/>
        <v>1</v>
      </c>
      <c r="AD37" s="40">
        <f t="shared" si="14"/>
        <v>0</v>
      </c>
      <c r="AE37" s="40">
        <f t="shared" si="14"/>
        <v>0</v>
      </c>
      <c r="AF37" s="40">
        <f t="shared" si="14"/>
        <v>0</v>
      </c>
      <c r="AG37" s="40">
        <f t="shared" si="13"/>
        <v>0</v>
      </c>
    </row>
    <row r="38" spans="2:33" ht="42" customHeight="1">
      <c r="B38" s="45" t="s">
        <v>111</v>
      </c>
      <c r="C38" s="40">
        <f t="shared" si="14"/>
        <v>0</v>
      </c>
      <c r="D38" s="40">
        <f t="shared" si="14"/>
        <v>1</v>
      </c>
      <c r="E38" s="40">
        <f t="shared" si="14"/>
        <v>0</v>
      </c>
      <c r="F38" s="40">
        <f t="shared" si="14"/>
        <v>0</v>
      </c>
      <c r="G38" s="40">
        <f t="shared" si="14"/>
        <v>0</v>
      </c>
      <c r="H38" s="40">
        <f t="shared" si="14"/>
        <v>0</v>
      </c>
      <c r="I38" s="40">
        <f t="shared" si="14"/>
        <v>0</v>
      </c>
      <c r="J38" s="40">
        <f t="shared" si="14"/>
        <v>1</v>
      </c>
      <c r="K38" s="40">
        <f t="shared" si="14"/>
        <v>1</v>
      </c>
      <c r="L38" s="40">
        <f t="shared" si="14"/>
        <v>1</v>
      </c>
      <c r="M38" s="40">
        <f t="shared" si="14"/>
        <v>1</v>
      </c>
      <c r="N38" s="40">
        <f t="shared" si="14"/>
        <v>1</v>
      </c>
      <c r="O38" s="40">
        <f t="shared" si="14"/>
        <v>0</v>
      </c>
      <c r="P38" s="40">
        <f t="shared" si="14"/>
        <v>0</v>
      </c>
      <c r="Q38" s="40">
        <f t="shared" si="14"/>
        <v>0</v>
      </c>
      <c r="R38" s="40">
        <f t="shared" si="14"/>
        <v>0</v>
      </c>
      <c r="S38" s="40">
        <f t="shared" si="14"/>
        <v>0</v>
      </c>
      <c r="T38" s="40">
        <f t="shared" si="14"/>
        <v>0</v>
      </c>
      <c r="U38" s="40">
        <f t="shared" si="14"/>
        <v>0</v>
      </c>
      <c r="V38" s="40">
        <f t="shared" si="14"/>
        <v>0</v>
      </c>
      <c r="W38" s="40">
        <f t="shared" si="14"/>
        <v>0</v>
      </c>
      <c r="X38" s="40">
        <f t="shared" si="14"/>
        <v>0</v>
      </c>
      <c r="Y38" s="40">
        <f t="shared" si="14"/>
        <v>0</v>
      </c>
      <c r="Z38" s="40">
        <f t="shared" si="14"/>
        <v>0</v>
      </c>
      <c r="AA38" s="40">
        <f t="shared" si="14"/>
        <v>0</v>
      </c>
      <c r="AB38" s="40">
        <f t="shared" si="14"/>
        <v>0</v>
      </c>
      <c r="AC38" s="40">
        <f t="shared" si="14"/>
        <v>0</v>
      </c>
      <c r="AD38" s="40">
        <f t="shared" si="14"/>
        <v>0</v>
      </c>
      <c r="AE38" s="40">
        <f t="shared" si="14"/>
        <v>0</v>
      </c>
      <c r="AF38" s="40">
        <f t="shared" si="14"/>
        <v>0</v>
      </c>
      <c r="AG38" s="40">
        <f t="shared" si="13"/>
        <v>0</v>
      </c>
    </row>
  </sheetData>
  <mergeCells count="34">
    <mergeCell ref="C3:D3"/>
    <mergeCell ref="C11:G11"/>
    <mergeCell ref="C10:G10"/>
    <mergeCell ref="C9:D9"/>
    <mergeCell ref="C6:G6"/>
    <mergeCell ref="G4:J4"/>
    <mergeCell ref="E5:H5"/>
    <mergeCell ref="C8:D8"/>
    <mergeCell ref="AA13:AG13"/>
    <mergeCell ref="R14:V14"/>
    <mergeCell ref="T3:V3"/>
    <mergeCell ref="Z3:AD3"/>
    <mergeCell ref="L3:N3"/>
    <mergeCell ref="S4:U4"/>
    <mergeCell ref="Q6:S8"/>
    <mergeCell ref="S9:U9"/>
    <mergeCell ref="P4:R4"/>
    <mergeCell ref="L9:O10"/>
    <mergeCell ref="E15:I15"/>
    <mergeCell ref="AF8:AG8"/>
    <mergeCell ref="I7:K7"/>
    <mergeCell ref="G8:J8"/>
    <mergeCell ref="L5:Z5"/>
    <mergeCell ref="M11:S11"/>
    <mergeCell ref="O15:AG15"/>
    <mergeCell ref="AA4:AD5"/>
    <mergeCell ref="Z9:AC10"/>
    <mergeCell ref="AB6:AD6"/>
    <mergeCell ref="K8:N8"/>
    <mergeCell ref="X8:Z8"/>
    <mergeCell ref="X11:Z11"/>
    <mergeCell ref="AD9:AG10"/>
    <mergeCell ref="AF11:AG11"/>
    <mergeCell ref="Z7:AF7"/>
  </mergeCells>
  <conditionalFormatting sqref="C17:AF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E53E-2FA1-473B-8F06-95A097CA6ADA}">
  <sheetPr>
    <tabColor theme="7" tint="0.59999389629810485"/>
  </sheetPr>
  <dimension ref="A1:AD38"/>
  <sheetViews>
    <sheetView zoomScale="40" zoomScaleNormal="40" workbookViewId="0">
      <pane xSplit="2" ySplit="2" topLeftCell="C12" activePane="bottomRight" state="frozen"/>
      <selection pane="bottomRight" activeCell="C11" sqref="C11"/>
      <selection pane="bottomLeft" activeCell="AF11" sqref="AF11:AG11"/>
      <selection pane="topRight" activeCell="AF11" sqref="AF11:AG11"/>
    </sheetView>
  </sheetViews>
  <sheetFormatPr defaultColWidth="8.7109375" defaultRowHeight="12.4"/>
  <cols>
    <col min="1" max="1" width="9.85546875" style="40" customWidth="1"/>
    <col min="2" max="2" width="30" style="40" bestFit="1" customWidth="1"/>
    <col min="3" max="3" width="19.140625" style="26" customWidth="1"/>
    <col min="4" max="7" width="15.5703125" style="26" customWidth="1"/>
    <col min="8" max="8" width="17.42578125" style="26" customWidth="1"/>
    <col min="9" max="12" width="15.5703125" style="26" customWidth="1"/>
    <col min="13" max="13" width="18.42578125" style="26" customWidth="1"/>
    <col min="14" max="15" width="15.5703125" style="26" customWidth="1"/>
    <col min="16" max="19" width="19.5703125" style="26" customWidth="1"/>
    <col min="20" max="30" width="15.5703125" style="26" customWidth="1"/>
    <col min="31" max="16384" width="8.7109375" style="26"/>
  </cols>
  <sheetData>
    <row r="1" spans="1:30" ht="45.2" customHeight="1">
      <c r="A1" s="24" t="s">
        <v>0</v>
      </c>
      <c r="B1" s="24" t="s">
        <v>1</v>
      </c>
      <c r="C1" s="25">
        <v>1</v>
      </c>
      <c r="D1" s="25">
        <v>2</v>
      </c>
      <c r="E1" s="24">
        <v>3</v>
      </c>
      <c r="F1" s="24">
        <v>4</v>
      </c>
      <c r="G1" s="25">
        <v>5</v>
      </c>
      <c r="H1" s="25">
        <v>6</v>
      </c>
      <c r="I1" s="25">
        <v>7</v>
      </c>
      <c r="J1" s="25">
        <v>8</v>
      </c>
      <c r="K1" s="25">
        <v>9</v>
      </c>
      <c r="L1" s="24">
        <v>10</v>
      </c>
      <c r="M1" s="24">
        <v>11</v>
      </c>
      <c r="N1" s="24">
        <v>12</v>
      </c>
      <c r="O1" s="25">
        <v>13</v>
      </c>
      <c r="P1" s="25">
        <v>14</v>
      </c>
      <c r="Q1" s="25">
        <v>15</v>
      </c>
      <c r="R1" s="24">
        <v>16</v>
      </c>
      <c r="S1" s="24">
        <v>17</v>
      </c>
      <c r="T1" s="24">
        <v>18</v>
      </c>
      <c r="U1" s="25">
        <v>19</v>
      </c>
      <c r="V1" s="25">
        <v>20</v>
      </c>
      <c r="W1" s="25">
        <v>21</v>
      </c>
      <c r="X1" s="25">
        <v>22</v>
      </c>
      <c r="Y1" s="25">
        <v>23</v>
      </c>
      <c r="Z1" s="24">
        <v>24</v>
      </c>
      <c r="AA1" s="24">
        <v>25</v>
      </c>
      <c r="AB1" s="24">
        <v>26</v>
      </c>
      <c r="AC1" s="24">
        <v>27</v>
      </c>
      <c r="AD1" s="25">
        <v>28</v>
      </c>
    </row>
    <row r="2" spans="1:30" ht="27.75" customHeight="1">
      <c r="A2" s="27"/>
      <c r="B2" s="27"/>
      <c r="C2" s="28" t="s">
        <v>4</v>
      </c>
      <c r="D2" s="28" t="s">
        <v>5</v>
      </c>
      <c r="E2" s="29" t="s">
        <v>6</v>
      </c>
      <c r="F2" s="28" t="s">
        <v>7</v>
      </c>
      <c r="G2" s="28" t="s">
        <v>8</v>
      </c>
      <c r="H2" s="30" t="s">
        <v>2</v>
      </c>
      <c r="I2" s="31" t="s">
        <v>3</v>
      </c>
      <c r="J2" s="28" t="s">
        <v>4</v>
      </c>
      <c r="K2" s="28" t="s">
        <v>5</v>
      </c>
      <c r="L2" s="29" t="s">
        <v>6</v>
      </c>
      <c r="M2" s="28" t="s">
        <v>7</v>
      </c>
      <c r="N2" s="28" t="s">
        <v>8</v>
      </c>
      <c r="O2" s="30" t="s">
        <v>2</v>
      </c>
      <c r="P2" s="31" t="s">
        <v>3</v>
      </c>
      <c r="Q2" s="28" t="s">
        <v>4</v>
      </c>
      <c r="R2" s="28" t="s">
        <v>5</v>
      </c>
      <c r="S2" s="29" t="s">
        <v>6</v>
      </c>
      <c r="T2" s="28" t="s">
        <v>7</v>
      </c>
      <c r="U2" s="28" t="s">
        <v>8</v>
      </c>
      <c r="V2" s="30" t="s">
        <v>2</v>
      </c>
      <c r="W2" s="31" t="s">
        <v>3</v>
      </c>
      <c r="X2" s="28" t="s">
        <v>4</v>
      </c>
      <c r="Y2" s="28" t="s">
        <v>5</v>
      </c>
      <c r="Z2" s="29" t="s">
        <v>6</v>
      </c>
      <c r="AA2" s="28" t="s">
        <v>7</v>
      </c>
      <c r="AB2" s="28" t="s">
        <v>8</v>
      </c>
      <c r="AC2" s="31" t="s">
        <v>2</v>
      </c>
      <c r="AD2" s="80" t="s">
        <v>3</v>
      </c>
    </row>
    <row r="3" spans="1:30" ht="85.5" customHeight="1">
      <c r="A3" s="32">
        <v>1</v>
      </c>
      <c r="B3" s="33" t="s">
        <v>9</v>
      </c>
      <c r="C3" s="641" t="s">
        <v>859</v>
      </c>
      <c r="D3" s="615"/>
      <c r="E3" s="615"/>
      <c r="F3" s="615"/>
      <c r="G3" s="615"/>
      <c r="H3" s="615"/>
      <c r="I3" s="616"/>
      <c r="J3" s="23">
        <v>1</v>
      </c>
      <c r="K3" s="23">
        <v>1</v>
      </c>
      <c r="L3" s="23">
        <v>1</v>
      </c>
      <c r="M3" s="537" t="s">
        <v>860</v>
      </c>
      <c r="N3" s="401"/>
      <c r="O3" s="538"/>
      <c r="P3" s="23">
        <v>1</v>
      </c>
      <c r="Q3" s="23">
        <v>1</v>
      </c>
      <c r="R3" s="23">
        <v>1</v>
      </c>
      <c r="S3" s="254" t="s">
        <v>861</v>
      </c>
      <c r="T3" s="255"/>
      <c r="U3" s="298"/>
      <c r="V3" s="23">
        <v>1</v>
      </c>
      <c r="W3" s="23">
        <v>1</v>
      </c>
      <c r="X3" s="23">
        <v>1</v>
      </c>
      <c r="Y3" s="23">
        <v>1</v>
      </c>
      <c r="Z3" s="370" t="s">
        <v>862</v>
      </c>
      <c r="AA3" s="246"/>
      <c r="AB3" s="246"/>
      <c r="AC3" s="246"/>
      <c r="AD3" s="371"/>
    </row>
    <row r="4" spans="1:30" ht="85.5" customHeight="1">
      <c r="A4" s="34">
        <v>2</v>
      </c>
      <c r="B4" s="33" t="s">
        <v>9</v>
      </c>
      <c r="C4" s="23">
        <v>1</v>
      </c>
      <c r="D4" s="215" t="s">
        <v>863</v>
      </c>
      <c r="E4" s="279"/>
      <c r="F4" s="225"/>
      <c r="G4" s="23">
        <v>1</v>
      </c>
      <c r="H4" s="23">
        <v>1</v>
      </c>
      <c r="I4" s="23">
        <v>1</v>
      </c>
      <c r="J4" s="215" t="s">
        <v>864</v>
      </c>
      <c r="K4" s="279"/>
      <c r="L4" s="225"/>
      <c r="M4" s="254"/>
      <c r="N4" s="255"/>
      <c r="O4" s="298"/>
      <c r="P4" s="23">
        <v>1</v>
      </c>
      <c r="Q4" s="23">
        <v>1</v>
      </c>
      <c r="R4" s="23">
        <v>1</v>
      </c>
      <c r="S4" s="23">
        <v>1</v>
      </c>
      <c r="T4" s="23">
        <v>1</v>
      </c>
      <c r="U4" s="23">
        <v>1</v>
      </c>
      <c r="V4" s="23">
        <v>1</v>
      </c>
      <c r="W4" s="23">
        <v>1</v>
      </c>
      <c r="X4" s="23">
        <v>1</v>
      </c>
      <c r="Y4" s="23">
        <v>1</v>
      </c>
      <c r="Z4" s="254"/>
      <c r="AA4" s="255"/>
      <c r="AB4" s="255"/>
      <c r="AC4" s="255"/>
      <c r="AD4" s="298"/>
    </row>
    <row r="5" spans="1:30" ht="108" customHeight="1">
      <c r="A5" s="34">
        <v>3</v>
      </c>
      <c r="B5" s="33" t="s">
        <v>29</v>
      </c>
      <c r="C5" s="682" t="s">
        <v>865</v>
      </c>
      <c r="D5" s="208"/>
      <c r="E5" s="209"/>
      <c r="F5" s="84"/>
      <c r="G5" s="84"/>
      <c r="H5" s="84"/>
      <c r="I5" s="84"/>
      <c r="J5" s="84"/>
      <c r="K5" s="84"/>
      <c r="L5" s="46">
        <v>1</v>
      </c>
      <c r="M5" s="215" t="s">
        <v>866</v>
      </c>
      <c r="N5" s="279"/>
      <c r="O5" s="279"/>
      <c r="P5" s="225"/>
      <c r="Q5" s="23">
        <v>1</v>
      </c>
      <c r="R5" s="23">
        <v>1</v>
      </c>
      <c r="S5" s="215" t="s">
        <v>867</v>
      </c>
      <c r="T5" s="279"/>
      <c r="U5" s="279"/>
      <c r="V5" s="225"/>
      <c r="W5" s="23">
        <v>1</v>
      </c>
      <c r="X5" s="23">
        <v>1</v>
      </c>
      <c r="Y5" s="23">
        <v>1</v>
      </c>
      <c r="Z5" s="23">
        <v>1</v>
      </c>
      <c r="AA5" s="23">
        <v>1</v>
      </c>
      <c r="AB5" s="23">
        <v>1</v>
      </c>
      <c r="AC5" s="23">
        <v>1</v>
      </c>
      <c r="AD5" s="23">
        <v>1</v>
      </c>
    </row>
    <row r="6" spans="1:30" ht="108" customHeight="1">
      <c r="A6" s="34">
        <v>4</v>
      </c>
      <c r="B6" s="35" t="s">
        <v>37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279" t="s">
        <v>868</v>
      </c>
      <c r="N6" s="279"/>
      <c r="O6" s="279"/>
      <c r="P6" s="225"/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B6" s="23">
        <v>1</v>
      </c>
      <c r="AC6" s="23">
        <v>1</v>
      </c>
      <c r="AD6" s="23">
        <v>1</v>
      </c>
    </row>
    <row r="7" spans="1:30" ht="85.5" customHeight="1">
      <c r="A7" s="34">
        <v>5</v>
      </c>
      <c r="B7" s="33" t="s">
        <v>37</v>
      </c>
      <c r="C7" s="47">
        <v>1</v>
      </c>
      <c r="D7" s="47">
        <v>1</v>
      </c>
      <c r="E7" s="47">
        <v>1</v>
      </c>
      <c r="F7" s="47">
        <v>1</v>
      </c>
      <c r="G7" s="47">
        <v>1</v>
      </c>
      <c r="H7" s="47">
        <v>1</v>
      </c>
      <c r="I7" s="47">
        <v>1</v>
      </c>
      <c r="J7" s="47">
        <v>1</v>
      </c>
      <c r="K7" s="47">
        <v>1</v>
      </c>
      <c r="L7" s="47">
        <v>1</v>
      </c>
      <c r="M7" s="23">
        <v>1</v>
      </c>
      <c r="N7" s="23">
        <v>1</v>
      </c>
      <c r="O7" s="23">
        <v>1</v>
      </c>
      <c r="P7" s="23">
        <v>1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1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B7" s="23">
        <v>1</v>
      </c>
      <c r="AC7" s="23">
        <v>1</v>
      </c>
      <c r="AD7" s="23">
        <v>1</v>
      </c>
    </row>
    <row r="8" spans="1:30" ht="103.35" customHeight="1">
      <c r="A8" s="34">
        <v>6</v>
      </c>
      <c r="B8" s="33" t="s">
        <v>9</v>
      </c>
      <c r="C8" s="281" t="s">
        <v>846</v>
      </c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97"/>
      <c r="O8" s="213" t="s">
        <v>869</v>
      </c>
      <c r="P8" s="618"/>
      <c r="Q8" s="619"/>
      <c r="R8" s="23">
        <v>1</v>
      </c>
      <c r="S8" s="23">
        <v>1</v>
      </c>
      <c r="T8" s="23">
        <v>1</v>
      </c>
      <c r="U8" s="23">
        <v>1</v>
      </c>
      <c r="V8" s="215" t="s">
        <v>870</v>
      </c>
      <c r="W8" s="279"/>
      <c r="X8" s="279"/>
      <c r="Y8" s="225"/>
      <c r="Z8" s="215" t="s">
        <v>871</v>
      </c>
      <c r="AA8" s="279"/>
      <c r="AB8" s="279"/>
      <c r="AC8" s="279"/>
      <c r="AD8" s="225"/>
    </row>
    <row r="9" spans="1:30" ht="112.5" customHeight="1">
      <c r="A9" s="34">
        <v>7</v>
      </c>
      <c r="B9" s="33" t="s">
        <v>9</v>
      </c>
      <c r="C9" s="192" t="s">
        <v>850</v>
      </c>
      <c r="D9" s="23">
        <v>1</v>
      </c>
      <c r="E9" s="23">
        <v>1</v>
      </c>
      <c r="F9" s="23">
        <v>1</v>
      </c>
      <c r="G9" s="23">
        <v>1</v>
      </c>
      <c r="H9" s="218" t="s">
        <v>872</v>
      </c>
      <c r="I9" s="216"/>
      <c r="J9" s="217"/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  <c r="AD9" s="23">
        <v>1</v>
      </c>
    </row>
    <row r="10" spans="1:30" ht="85.5" customHeight="1">
      <c r="A10" s="34">
        <v>8</v>
      </c>
      <c r="B10" s="33" t="s">
        <v>9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54"/>
      <c r="I10" s="255"/>
      <c r="J10" s="298"/>
      <c r="K10" s="23">
        <v>1</v>
      </c>
      <c r="L10" s="23">
        <v>1</v>
      </c>
      <c r="M10" s="23">
        <v>1</v>
      </c>
      <c r="N10" s="23">
        <v>1</v>
      </c>
      <c r="O10" s="23">
        <v>1</v>
      </c>
      <c r="P10" s="23">
        <v>1</v>
      </c>
      <c r="Q10" s="23">
        <v>1</v>
      </c>
      <c r="R10" s="23">
        <v>1</v>
      </c>
      <c r="S10" s="23">
        <v>1</v>
      </c>
      <c r="T10" s="23">
        <v>1</v>
      </c>
      <c r="U10" s="23">
        <v>1</v>
      </c>
      <c r="V10" s="23">
        <v>1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B10" s="23">
        <v>1</v>
      </c>
      <c r="AC10" s="23">
        <v>1</v>
      </c>
      <c r="AD10" s="23">
        <v>1</v>
      </c>
    </row>
    <row r="11" spans="1:30" ht="85.5" customHeight="1">
      <c r="A11" s="34">
        <v>9</v>
      </c>
      <c r="B11" s="35" t="s">
        <v>29</v>
      </c>
      <c r="C11" s="145"/>
      <c r="D11" s="23">
        <v>1</v>
      </c>
      <c r="E11" s="679" t="s">
        <v>873</v>
      </c>
      <c r="F11" s="680"/>
      <c r="G11" s="680"/>
      <c r="H11" s="680"/>
      <c r="I11" s="680"/>
      <c r="J11" s="680"/>
      <c r="K11" s="681"/>
      <c r="L11" s="23">
        <v>1</v>
      </c>
      <c r="M11" s="23">
        <v>1</v>
      </c>
      <c r="N11" s="281" t="s">
        <v>874</v>
      </c>
      <c r="O11" s="282"/>
      <c r="P11" s="282"/>
      <c r="Q11" s="297"/>
      <c r="R11" s="23">
        <v>1</v>
      </c>
      <c r="S11" s="215" t="s">
        <v>875</v>
      </c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25"/>
    </row>
    <row r="12" spans="1:30" ht="85.5" customHeight="1">
      <c r="A12" s="34">
        <v>10</v>
      </c>
      <c r="B12" s="33" t="s">
        <v>37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23">
        <v>1</v>
      </c>
      <c r="N12" s="23">
        <v>1</v>
      </c>
      <c r="O12" s="23">
        <v>1</v>
      </c>
      <c r="P12" s="23">
        <v>1</v>
      </c>
      <c r="Q12" s="23">
        <v>1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1</v>
      </c>
    </row>
    <row r="13" spans="1:30" ht="85.5" customHeight="1">
      <c r="A13" s="34">
        <v>11</v>
      </c>
      <c r="B13" s="33" t="s">
        <v>37</v>
      </c>
      <c r="C13" s="213" t="s">
        <v>855</v>
      </c>
      <c r="D13" s="214"/>
      <c r="E13" s="214"/>
      <c r="F13" s="227"/>
      <c r="G13" s="23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3">
        <v>1</v>
      </c>
      <c r="AD13" s="23">
        <v>1</v>
      </c>
    </row>
    <row r="14" spans="1:30" ht="85.5" customHeight="1">
      <c r="A14" s="34">
        <v>12</v>
      </c>
      <c r="B14" s="33" t="s">
        <v>9</v>
      </c>
      <c r="C14" s="192" t="s">
        <v>850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46">
        <v>1</v>
      </c>
      <c r="J14" s="46">
        <v>1</v>
      </c>
      <c r="K14" s="46">
        <v>1</v>
      </c>
      <c r="L14" s="23">
        <v>1</v>
      </c>
      <c r="M14" s="23">
        <v>1</v>
      </c>
      <c r="N14" s="23">
        <v>1</v>
      </c>
      <c r="O14" s="23">
        <v>1</v>
      </c>
      <c r="P14" s="23">
        <v>1</v>
      </c>
      <c r="Q14" s="23">
        <v>1</v>
      </c>
      <c r="R14" s="23">
        <v>1</v>
      </c>
      <c r="S14" s="23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</row>
    <row r="15" spans="1:30" ht="85.5" customHeight="1">
      <c r="A15" s="34" t="s">
        <v>111</v>
      </c>
      <c r="B15" s="33" t="s">
        <v>112</v>
      </c>
      <c r="C15" s="215" t="s">
        <v>858</v>
      </c>
      <c r="D15" s="225"/>
      <c r="E15" s="23">
        <v>1</v>
      </c>
      <c r="F15" s="23">
        <v>1</v>
      </c>
      <c r="G15" s="23">
        <v>1</v>
      </c>
      <c r="H15" s="65">
        <v>1</v>
      </c>
      <c r="I15" s="128"/>
      <c r="J15" s="91"/>
      <c r="K15" s="91"/>
      <c r="L15" s="108">
        <v>1</v>
      </c>
      <c r="M15" s="23">
        <v>1</v>
      </c>
      <c r="N15" s="23">
        <v>1</v>
      </c>
      <c r="O15" s="23">
        <v>1</v>
      </c>
      <c r="P15" s="23">
        <v>1</v>
      </c>
      <c r="Q15" s="23">
        <v>1</v>
      </c>
      <c r="R15" s="23">
        <v>1</v>
      </c>
      <c r="S15" s="23">
        <v>1</v>
      </c>
      <c r="T15" s="23">
        <v>1</v>
      </c>
      <c r="U15" s="23">
        <v>1</v>
      </c>
      <c r="V15" s="215" t="s">
        <v>876</v>
      </c>
      <c r="W15" s="279"/>
      <c r="X15" s="279"/>
      <c r="Y15" s="225"/>
      <c r="Z15" s="23">
        <v>1</v>
      </c>
      <c r="AA15" s="23">
        <v>1</v>
      </c>
      <c r="AB15" s="23">
        <v>1</v>
      </c>
      <c r="AC15" s="23">
        <v>1</v>
      </c>
      <c r="AD15" s="23">
        <v>1</v>
      </c>
    </row>
    <row r="16" spans="1:30" ht="84.95" customHeight="1">
      <c r="A16" s="36"/>
      <c r="B16" s="37"/>
      <c r="C16" s="38">
        <f>(30*13-SUM(C17:AD20))/(30*13)</f>
        <v>0.43076923076923079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85.5" customHeight="1">
      <c r="A17" s="2"/>
      <c r="B17" s="3" t="s">
        <v>121</v>
      </c>
      <c r="C17" s="2">
        <f t="shared" ref="C17:AD17" si="0">C28+C34</f>
        <v>0</v>
      </c>
      <c r="D17" s="2">
        <f t="shared" si="0"/>
        <v>1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4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4">
        <f t="shared" si="0"/>
        <v>2</v>
      </c>
      <c r="M17" s="4">
        <f t="shared" si="0"/>
        <v>1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4">
        <f t="shared" si="0"/>
        <v>1</v>
      </c>
      <c r="R17" s="4">
        <f t="shared" si="0"/>
        <v>2</v>
      </c>
      <c r="S17" s="4">
        <f t="shared" si="0"/>
        <v>0</v>
      </c>
      <c r="T17" s="4">
        <f t="shared" si="0"/>
        <v>0</v>
      </c>
      <c r="U17" s="4">
        <f t="shared" si="0"/>
        <v>0</v>
      </c>
      <c r="V17" s="4">
        <f t="shared" si="0"/>
        <v>0</v>
      </c>
      <c r="W17" s="4">
        <f t="shared" si="0"/>
        <v>1</v>
      </c>
      <c r="X17" s="4">
        <f t="shared" si="0"/>
        <v>1</v>
      </c>
      <c r="Y17" s="4">
        <f t="shared" si="0"/>
        <v>1</v>
      </c>
      <c r="Z17" s="4">
        <f t="shared" si="0"/>
        <v>1</v>
      </c>
      <c r="AA17" s="4">
        <f t="shared" si="0"/>
        <v>1</v>
      </c>
      <c r="AB17" s="4">
        <f t="shared" si="0"/>
        <v>1</v>
      </c>
      <c r="AC17" s="4">
        <f t="shared" si="0"/>
        <v>1</v>
      </c>
      <c r="AD17" s="4">
        <f t="shared" si="0"/>
        <v>1</v>
      </c>
    </row>
    <row r="18" spans="1:30" ht="85.5" customHeight="1">
      <c r="A18" s="2"/>
      <c r="B18" s="3" t="s">
        <v>122</v>
      </c>
      <c r="C18" s="2">
        <f t="shared" ref="C18:AD18" si="1">C26+C27+C31+C32+C33+C37</f>
        <v>2</v>
      </c>
      <c r="D18" s="2">
        <f t="shared" si="1"/>
        <v>3</v>
      </c>
      <c r="E18" s="4">
        <f t="shared" si="1"/>
        <v>3</v>
      </c>
      <c r="F18" s="4">
        <f t="shared" si="1"/>
        <v>3</v>
      </c>
      <c r="G18" s="4">
        <f t="shared" si="1"/>
        <v>4</v>
      </c>
      <c r="H18" s="4">
        <f t="shared" si="1"/>
        <v>2</v>
      </c>
      <c r="I18" s="4">
        <f t="shared" si="1"/>
        <v>2</v>
      </c>
      <c r="J18" s="4">
        <f t="shared" si="1"/>
        <v>2</v>
      </c>
      <c r="K18" s="4">
        <f t="shared" si="1"/>
        <v>4</v>
      </c>
      <c r="L18" s="4">
        <f t="shared" si="1"/>
        <v>4</v>
      </c>
      <c r="M18" s="4">
        <f t="shared" si="1"/>
        <v>3</v>
      </c>
      <c r="N18" s="4">
        <f t="shared" si="1"/>
        <v>3</v>
      </c>
      <c r="O18" s="4">
        <f t="shared" si="1"/>
        <v>3</v>
      </c>
      <c r="P18" s="4">
        <f t="shared" si="1"/>
        <v>5</v>
      </c>
      <c r="Q18" s="4">
        <f t="shared" si="1"/>
        <v>5</v>
      </c>
      <c r="R18" s="4">
        <f t="shared" si="1"/>
        <v>6</v>
      </c>
      <c r="S18" s="4">
        <f t="shared" si="1"/>
        <v>5</v>
      </c>
      <c r="T18" s="4">
        <f t="shared" si="1"/>
        <v>5</v>
      </c>
      <c r="U18" s="4">
        <f t="shared" si="1"/>
        <v>5</v>
      </c>
      <c r="V18" s="4">
        <f t="shared" si="1"/>
        <v>5</v>
      </c>
      <c r="W18" s="4">
        <f t="shared" si="1"/>
        <v>5</v>
      </c>
      <c r="X18" s="4">
        <f t="shared" si="1"/>
        <v>5</v>
      </c>
      <c r="Y18" s="4">
        <f t="shared" si="1"/>
        <v>5</v>
      </c>
      <c r="Z18" s="4">
        <f t="shared" si="1"/>
        <v>3</v>
      </c>
      <c r="AA18" s="4">
        <f t="shared" si="1"/>
        <v>3</v>
      </c>
      <c r="AB18" s="4">
        <f t="shared" si="1"/>
        <v>3</v>
      </c>
      <c r="AC18" s="4">
        <f t="shared" si="1"/>
        <v>3</v>
      </c>
      <c r="AD18" s="4">
        <f t="shared" si="1"/>
        <v>3</v>
      </c>
    </row>
    <row r="19" spans="1:30" ht="85.5" customHeight="1">
      <c r="A19" s="2"/>
      <c r="B19" s="3" t="s">
        <v>123</v>
      </c>
      <c r="C19" s="2">
        <f t="shared" ref="C19:AD19" si="2">C29+C30+C35+C36</f>
        <v>1</v>
      </c>
      <c r="D19" s="2">
        <f t="shared" si="2"/>
        <v>1</v>
      </c>
      <c r="E19" s="4">
        <f t="shared" si="2"/>
        <v>1</v>
      </c>
      <c r="F19" s="4">
        <f t="shared" si="2"/>
        <v>1</v>
      </c>
      <c r="G19" s="4">
        <f t="shared" si="2"/>
        <v>2</v>
      </c>
      <c r="H19" s="4">
        <f t="shared" si="2"/>
        <v>2</v>
      </c>
      <c r="I19" s="4">
        <f t="shared" si="2"/>
        <v>2</v>
      </c>
      <c r="J19" s="4">
        <f t="shared" si="2"/>
        <v>2</v>
      </c>
      <c r="K19" s="4">
        <f t="shared" si="2"/>
        <v>2</v>
      </c>
      <c r="L19" s="4">
        <f t="shared" si="2"/>
        <v>2</v>
      </c>
      <c r="M19" s="4">
        <f t="shared" si="2"/>
        <v>3</v>
      </c>
      <c r="N19" s="4">
        <f t="shared" si="2"/>
        <v>3</v>
      </c>
      <c r="O19" s="4">
        <f t="shared" si="2"/>
        <v>3</v>
      </c>
      <c r="P19" s="4">
        <f t="shared" si="2"/>
        <v>3</v>
      </c>
      <c r="Q19" s="4">
        <f t="shared" si="2"/>
        <v>4</v>
      </c>
      <c r="R19" s="4">
        <f t="shared" si="2"/>
        <v>4</v>
      </c>
      <c r="S19" s="4">
        <f t="shared" si="2"/>
        <v>4</v>
      </c>
      <c r="T19" s="4">
        <f t="shared" si="2"/>
        <v>4</v>
      </c>
      <c r="U19" s="4">
        <f t="shared" si="2"/>
        <v>4</v>
      </c>
      <c r="V19" s="4">
        <f t="shared" si="2"/>
        <v>4</v>
      </c>
      <c r="W19" s="4">
        <f t="shared" si="2"/>
        <v>4</v>
      </c>
      <c r="X19" s="4">
        <f t="shared" si="2"/>
        <v>4</v>
      </c>
      <c r="Y19" s="4">
        <f t="shared" si="2"/>
        <v>4</v>
      </c>
      <c r="Z19" s="4">
        <f t="shared" si="2"/>
        <v>4</v>
      </c>
      <c r="AA19" s="4">
        <f t="shared" si="2"/>
        <v>4</v>
      </c>
      <c r="AB19" s="4">
        <f t="shared" si="2"/>
        <v>4</v>
      </c>
      <c r="AC19" s="4">
        <f t="shared" si="2"/>
        <v>4</v>
      </c>
      <c r="AD19" s="4">
        <f t="shared" si="2"/>
        <v>4</v>
      </c>
    </row>
    <row r="20" spans="1:30" ht="85.5" customHeight="1">
      <c r="A20" s="2"/>
      <c r="B20" s="3" t="s">
        <v>124</v>
      </c>
      <c r="C20" s="2">
        <f t="shared" ref="C20:AD20" si="3">C38</f>
        <v>0</v>
      </c>
      <c r="D20" s="2">
        <f t="shared" si="3"/>
        <v>0</v>
      </c>
      <c r="E20" s="4">
        <f t="shared" si="3"/>
        <v>1</v>
      </c>
      <c r="F20" s="4">
        <f t="shared" si="3"/>
        <v>1</v>
      </c>
      <c r="G20" s="4">
        <f t="shared" si="3"/>
        <v>1</v>
      </c>
      <c r="H20" s="4">
        <f t="shared" si="3"/>
        <v>1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1</v>
      </c>
      <c r="M20" s="4">
        <f t="shared" si="3"/>
        <v>1</v>
      </c>
      <c r="N20" s="4">
        <f t="shared" si="3"/>
        <v>1</v>
      </c>
      <c r="O20" s="4">
        <f t="shared" si="3"/>
        <v>1</v>
      </c>
      <c r="P20" s="4">
        <f t="shared" si="3"/>
        <v>1</v>
      </c>
      <c r="Q20" s="4">
        <f t="shared" si="3"/>
        <v>1</v>
      </c>
      <c r="R20" s="4">
        <f t="shared" si="3"/>
        <v>1</v>
      </c>
      <c r="S20" s="4">
        <f t="shared" si="3"/>
        <v>1</v>
      </c>
      <c r="T20" s="4">
        <f t="shared" si="3"/>
        <v>1</v>
      </c>
      <c r="U20" s="4">
        <f t="shared" si="3"/>
        <v>1</v>
      </c>
      <c r="V20" s="4">
        <f t="shared" si="3"/>
        <v>0</v>
      </c>
      <c r="W20" s="4">
        <f t="shared" si="3"/>
        <v>0</v>
      </c>
      <c r="X20" s="4">
        <f t="shared" si="3"/>
        <v>0</v>
      </c>
      <c r="Y20" s="4">
        <f t="shared" si="3"/>
        <v>0</v>
      </c>
      <c r="Z20" s="4">
        <f t="shared" si="3"/>
        <v>1</v>
      </c>
      <c r="AA20" s="4">
        <f t="shared" si="3"/>
        <v>1</v>
      </c>
      <c r="AB20" s="4">
        <f t="shared" si="3"/>
        <v>1</v>
      </c>
      <c r="AC20" s="4">
        <f t="shared" si="3"/>
        <v>1</v>
      </c>
      <c r="AD20" s="4">
        <f t="shared" si="3"/>
        <v>1</v>
      </c>
    </row>
    <row r="21" spans="1:30" ht="85.5" customHeight="1">
      <c r="C21" s="41">
        <f t="shared" ref="C21:AD21" si="4">SUM(C17:C20)</f>
        <v>3</v>
      </c>
      <c r="D21" s="41">
        <f t="shared" si="4"/>
        <v>5</v>
      </c>
      <c r="E21" s="41">
        <f t="shared" si="4"/>
        <v>5</v>
      </c>
      <c r="F21" s="41">
        <f t="shared" si="4"/>
        <v>5</v>
      </c>
      <c r="G21" s="41">
        <f t="shared" si="4"/>
        <v>7</v>
      </c>
      <c r="H21" s="41">
        <f t="shared" si="4"/>
        <v>5</v>
      </c>
      <c r="I21" s="41">
        <f t="shared" si="4"/>
        <v>4</v>
      </c>
      <c r="J21" s="41">
        <f t="shared" si="4"/>
        <v>4</v>
      </c>
      <c r="K21" s="41">
        <f t="shared" si="4"/>
        <v>6</v>
      </c>
      <c r="L21" s="41">
        <f t="shared" si="4"/>
        <v>9</v>
      </c>
      <c r="M21" s="41">
        <f t="shared" si="4"/>
        <v>8</v>
      </c>
      <c r="N21" s="41">
        <f t="shared" si="4"/>
        <v>7</v>
      </c>
      <c r="O21" s="41">
        <f t="shared" si="4"/>
        <v>7</v>
      </c>
      <c r="P21" s="41">
        <f t="shared" si="4"/>
        <v>9</v>
      </c>
      <c r="Q21" s="41">
        <f t="shared" si="4"/>
        <v>11</v>
      </c>
      <c r="R21" s="41">
        <f t="shared" si="4"/>
        <v>13</v>
      </c>
      <c r="S21" s="41">
        <f t="shared" si="4"/>
        <v>10</v>
      </c>
      <c r="T21" s="41">
        <f t="shared" si="4"/>
        <v>10</v>
      </c>
      <c r="U21" s="41">
        <f t="shared" si="4"/>
        <v>10</v>
      </c>
      <c r="V21" s="41">
        <f t="shared" si="4"/>
        <v>9</v>
      </c>
      <c r="W21" s="41">
        <f t="shared" si="4"/>
        <v>10</v>
      </c>
      <c r="X21" s="41">
        <f t="shared" si="4"/>
        <v>10</v>
      </c>
      <c r="Y21" s="41">
        <f t="shared" si="4"/>
        <v>10</v>
      </c>
      <c r="Z21" s="41">
        <f t="shared" si="4"/>
        <v>9</v>
      </c>
      <c r="AA21" s="41">
        <f t="shared" si="4"/>
        <v>9</v>
      </c>
      <c r="AB21" s="41">
        <f t="shared" si="4"/>
        <v>9</v>
      </c>
      <c r="AC21" s="41">
        <f t="shared" si="4"/>
        <v>9</v>
      </c>
      <c r="AD21" s="41">
        <f t="shared" si="4"/>
        <v>9</v>
      </c>
    </row>
    <row r="22" spans="1:30" ht="85.5" customHeight="1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71.099999999999994" customHeight="1"/>
    <row r="24" spans="1:30" ht="61.35" customHeight="1"/>
    <row r="26" spans="1:30" ht="42" customHeight="1">
      <c r="B26" s="42">
        <v>1</v>
      </c>
      <c r="C26" s="40">
        <f t="shared" ref="C26" si="5">IF(C3=1,1,0)</f>
        <v>0</v>
      </c>
      <c r="D26" s="40">
        <f t="shared" ref="D26:AD34" si="6">IF(D3=1,1,0)</f>
        <v>0</v>
      </c>
      <c r="E26" s="40">
        <f t="shared" si="6"/>
        <v>0</v>
      </c>
      <c r="F26" s="40">
        <f t="shared" si="6"/>
        <v>0</v>
      </c>
      <c r="G26" s="40">
        <f t="shared" si="6"/>
        <v>0</v>
      </c>
      <c r="H26" s="40">
        <f t="shared" si="6"/>
        <v>0</v>
      </c>
      <c r="I26" s="40">
        <f t="shared" si="6"/>
        <v>0</v>
      </c>
      <c r="J26" s="40">
        <f t="shared" si="6"/>
        <v>1</v>
      </c>
      <c r="K26" s="40">
        <f t="shared" si="6"/>
        <v>1</v>
      </c>
      <c r="L26" s="40">
        <f t="shared" si="6"/>
        <v>1</v>
      </c>
      <c r="M26" s="40">
        <f t="shared" si="6"/>
        <v>0</v>
      </c>
      <c r="N26" s="40">
        <f t="shared" si="6"/>
        <v>0</v>
      </c>
      <c r="O26" s="40">
        <f t="shared" si="6"/>
        <v>0</v>
      </c>
      <c r="P26" s="40">
        <f t="shared" si="6"/>
        <v>1</v>
      </c>
      <c r="Q26" s="40">
        <f t="shared" si="6"/>
        <v>1</v>
      </c>
      <c r="R26" s="40">
        <f t="shared" si="6"/>
        <v>1</v>
      </c>
      <c r="S26" s="40">
        <f t="shared" si="6"/>
        <v>0</v>
      </c>
      <c r="T26" s="40">
        <f t="shared" si="6"/>
        <v>0</v>
      </c>
      <c r="U26" s="40">
        <f t="shared" si="6"/>
        <v>0</v>
      </c>
      <c r="V26" s="40">
        <f t="shared" si="6"/>
        <v>1</v>
      </c>
      <c r="W26" s="40">
        <f t="shared" si="6"/>
        <v>1</v>
      </c>
      <c r="X26" s="40">
        <f t="shared" si="6"/>
        <v>1</v>
      </c>
      <c r="Y26" s="40">
        <f t="shared" si="6"/>
        <v>1</v>
      </c>
      <c r="Z26" s="40">
        <f t="shared" si="6"/>
        <v>0</v>
      </c>
      <c r="AA26" s="40">
        <f t="shared" si="6"/>
        <v>0</v>
      </c>
      <c r="AB26" s="40">
        <f t="shared" si="6"/>
        <v>0</v>
      </c>
      <c r="AC26" s="40">
        <f t="shared" si="6"/>
        <v>0</v>
      </c>
      <c r="AD26" s="40">
        <f t="shared" si="6"/>
        <v>0</v>
      </c>
    </row>
    <row r="27" spans="1:30" ht="42" customHeight="1">
      <c r="B27" s="42">
        <v>2</v>
      </c>
      <c r="C27" s="40">
        <f t="shared" ref="C27" si="7">IF(C4=1,1,0)</f>
        <v>1</v>
      </c>
      <c r="D27" s="40">
        <f t="shared" si="6"/>
        <v>0</v>
      </c>
      <c r="E27" s="40">
        <f t="shared" si="6"/>
        <v>0</v>
      </c>
      <c r="F27" s="40">
        <f t="shared" si="6"/>
        <v>0</v>
      </c>
      <c r="G27" s="40">
        <f t="shared" si="6"/>
        <v>1</v>
      </c>
      <c r="H27" s="40">
        <f t="shared" si="6"/>
        <v>1</v>
      </c>
      <c r="I27" s="40">
        <f t="shared" si="6"/>
        <v>1</v>
      </c>
      <c r="J27" s="40">
        <f t="shared" si="6"/>
        <v>0</v>
      </c>
      <c r="K27" s="40">
        <f t="shared" si="6"/>
        <v>0</v>
      </c>
      <c r="L27" s="40">
        <f t="shared" si="6"/>
        <v>0</v>
      </c>
      <c r="M27" s="40">
        <f t="shared" si="6"/>
        <v>0</v>
      </c>
      <c r="N27" s="40">
        <f t="shared" si="6"/>
        <v>0</v>
      </c>
      <c r="O27" s="40">
        <f t="shared" si="6"/>
        <v>0</v>
      </c>
      <c r="P27" s="40">
        <f t="shared" si="6"/>
        <v>1</v>
      </c>
      <c r="Q27" s="40">
        <f t="shared" si="6"/>
        <v>1</v>
      </c>
      <c r="R27" s="40">
        <f t="shared" si="6"/>
        <v>1</v>
      </c>
      <c r="S27" s="40">
        <f t="shared" si="6"/>
        <v>1</v>
      </c>
      <c r="T27" s="40">
        <f t="shared" si="6"/>
        <v>1</v>
      </c>
      <c r="U27" s="40">
        <f t="shared" si="6"/>
        <v>1</v>
      </c>
      <c r="V27" s="40">
        <f t="shared" si="6"/>
        <v>1</v>
      </c>
      <c r="W27" s="40">
        <f t="shared" si="6"/>
        <v>1</v>
      </c>
      <c r="X27" s="40">
        <f t="shared" si="6"/>
        <v>1</v>
      </c>
      <c r="Y27" s="40">
        <f t="shared" si="6"/>
        <v>1</v>
      </c>
      <c r="Z27" s="40">
        <f t="shared" si="6"/>
        <v>0</v>
      </c>
      <c r="AA27" s="40">
        <f t="shared" si="6"/>
        <v>0</v>
      </c>
      <c r="AB27" s="40">
        <f t="shared" si="6"/>
        <v>0</v>
      </c>
      <c r="AC27" s="40">
        <f t="shared" si="6"/>
        <v>0</v>
      </c>
      <c r="AD27" s="40">
        <f t="shared" si="6"/>
        <v>0</v>
      </c>
    </row>
    <row r="28" spans="1:30" ht="42" customHeight="1">
      <c r="B28" s="43">
        <v>3</v>
      </c>
      <c r="C28" s="40">
        <f t="shared" ref="C28" si="8">IF(C5=1,1,0)</f>
        <v>0</v>
      </c>
      <c r="D28" s="40">
        <f t="shared" si="6"/>
        <v>0</v>
      </c>
      <c r="E28" s="40">
        <f t="shared" si="6"/>
        <v>0</v>
      </c>
      <c r="F28" s="40">
        <f t="shared" si="6"/>
        <v>0</v>
      </c>
      <c r="G28" s="40">
        <f t="shared" si="6"/>
        <v>0</v>
      </c>
      <c r="H28" s="40">
        <f t="shared" si="6"/>
        <v>0</v>
      </c>
      <c r="I28" s="40">
        <f t="shared" si="6"/>
        <v>0</v>
      </c>
      <c r="J28" s="40">
        <f t="shared" si="6"/>
        <v>0</v>
      </c>
      <c r="K28" s="40">
        <f t="shared" si="6"/>
        <v>0</v>
      </c>
      <c r="L28" s="40">
        <f t="shared" si="6"/>
        <v>1</v>
      </c>
      <c r="M28" s="40">
        <f t="shared" si="6"/>
        <v>0</v>
      </c>
      <c r="N28" s="40">
        <f t="shared" si="6"/>
        <v>0</v>
      </c>
      <c r="O28" s="40">
        <f t="shared" si="6"/>
        <v>0</v>
      </c>
      <c r="P28" s="40">
        <f t="shared" si="6"/>
        <v>0</v>
      </c>
      <c r="Q28" s="40">
        <f t="shared" si="6"/>
        <v>1</v>
      </c>
      <c r="R28" s="40">
        <f t="shared" si="6"/>
        <v>1</v>
      </c>
      <c r="S28" s="40">
        <f t="shared" si="6"/>
        <v>0</v>
      </c>
      <c r="T28" s="40">
        <f t="shared" si="6"/>
        <v>0</v>
      </c>
      <c r="U28" s="40">
        <f t="shared" si="6"/>
        <v>0</v>
      </c>
      <c r="V28" s="40">
        <f t="shared" si="6"/>
        <v>0</v>
      </c>
      <c r="W28" s="40">
        <f t="shared" si="6"/>
        <v>1</v>
      </c>
      <c r="X28" s="40">
        <f t="shared" si="6"/>
        <v>1</v>
      </c>
      <c r="Y28" s="40">
        <f t="shared" si="6"/>
        <v>1</v>
      </c>
      <c r="Z28" s="40">
        <f t="shared" si="6"/>
        <v>1</v>
      </c>
      <c r="AA28" s="40">
        <f t="shared" si="6"/>
        <v>1</v>
      </c>
      <c r="AB28" s="40">
        <f t="shared" si="6"/>
        <v>1</v>
      </c>
      <c r="AC28" s="40">
        <f t="shared" si="6"/>
        <v>1</v>
      </c>
      <c r="AD28" s="40">
        <f t="shared" si="6"/>
        <v>1</v>
      </c>
    </row>
    <row r="29" spans="1:30" ht="42" customHeight="1">
      <c r="B29" s="44">
        <v>4</v>
      </c>
      <c r="C29" s="40">
        <f t="shared" ref="C29" si="9">IF(C6=1,1,0)</f>
        <v>0</v>
      </c>
      <c r="D29" s="40">
        <f t="shared" si="6"/>
        <v>0</v>
      </c>
      <c r="E29" s="40">
        <f t="shared" si="6"/>
        <v>0</v>
      </c>
      <c r="F29" s="40">
        <f t="shared" si="6"/>
        <v>0</v>
      </c>
      <c r="G29" s="40">
        <f t="shared" si="6"/>
        <v>0</v>
      </c>
      <c r="H29" s="40">
        <f t="shared" si="6"/>
        <v>0</v>
      </c>
      <c r="I29" s="40">
        <f t="shared" si="6"/>
        <v>0</v>
      </c>
      <c r="J29" s="40">
        <f t="shared" si="6"/>
        <v>0</v>
      </c>
      <c r="K29" s="40">
        <f t="shared" si="6"/>
        <v>0</v>
      </c>
      <c r="L29" s="40">
        <f t="shared" si="6"/>
        <v>0</v>
      </c>
      <c r="M29" s="40">
        <f t="shared" si="6"/>
        <v>0</v>
      </c>
      <c r="N29" s="40">
        <f t="shared" si="6"/>
        <v>0</v>
      </c>
      <c r="O29" s="40">
        <f t="shared" si="6"/>
        <v>0</v>
      </c>
      <c r="P29" s="40">
        <f t="shared" si="6"/>
        <v>0</v>
      </c>
      <c r="Q29" s="40">
        <f t="shared" si="6"/>
        <v>1</v>
      </c>
      <c r="R29" s="40">
        <f t="shared" si="6"/>
        <v>1</v>
      </c>
      <c r="S29" s="40">
        <f t="shared" si="6"/>
        <v>1</v>
      </c>
      <c r="T29" s="40">
        <f t="shared" si="6"/>
        <v>1</v>
      </c>
      <c r="U29" s="40">
        <f t="shared" si="6"/>
        <v>1</v>
      </c>
      <c r="V29" s="40">
        <f t="shared" si="6"/>
        <v>1</v>
      </c>
      <c r="W29" s="40">
        <f t="shared" si="6"/>
        <v>1</v>
      </c>
      <c r="X29" s="40">
        <f t="shared" si="6"/>
        <v>1</v>
      </c>
      <c r="Y29" s="40">
        <f t="shared" si="6"/>
        <v>1</v>
      </c>
      <c r="Z29" s="40">
        <f t="shared" si="6"/>
        <v>1</v>
      </c>
      <c r="AA29" s="40">
        <f t="shared" si="6"/>
        <v>1</v>
      </c>
      <c r="AB29" s="40">
        <f t="shared" si="6"/>
        <v>1</v>
      </c>
      <c r="AC29" s="40">
        <f t="shared" si="6"/>
        <v>1</v>
      </c>
      <c r="AD29" s="40">
        <f t="shared" si="6"/>
        <v>1</v>
      </c>
    </row>
    <row r="30" spans="1:30" ht="42" customHeight="1">
      <c r="B30" s="44">
        <v>5</v>
      </c>
      <c r="C30" s="40">
        <f t="shared" ref="C30" si="10">IF(C7=1,1,0)</f>
        <v>1</v>
      </c>
      <c r="D30" s="40">
        <f t="shared" si="6"/>
        <v>1</v>
      </c>
      <c r="E30" s="40">
        <f t="shared" si="6"/>
        <v>1</v>
      </c>
      <c r="F30" s="40">
        <f t="shared" si="6"/>
        <v>1</v>
      </c>
      <c r="G30" s="40">
        <f t="shared" si="6"/>
        <v>1</v>
      </c>
      <c r="H30" s="40">
        <f t="shared" si="6"/>
        <v>1</v>
      </c>
      <c r="I30" s="40">
        <f t="shared" si="6"/>
        <v>1</v>
      </c>
      <c r="J30" s="40">
        <f t="shared" si="6"/>
        <v>1</v>
      </c>
      <c r="K30" s="40">
        <f t="shared" si="6"/>
        <v>1</v>
      </c>
      <c r="L30" s="40">
        <f t="shared" si="6"/>
        <v>1</v>
      </c>
      <c r="M30" s="40">
        <f t="shared" si="6"/>
        <v>1</v>
      </c>
      <c r="N30" s="40">
        <f t="shared" si="6"/>
        <v>1</v>
      </c>
      <c r="O30" s="40">
        <f t="shared" si="6"/>
        <v>1</v>
      </c>
      <c r="P30" s="40">
        <f t="shared" si="6"/>
        <v>1</v>
      </c>
      <c r="Q30" s="40">
        <f t="shared" si="6"/>
        <v>1</v>
      </c>
      <c r="R30" s="40">
        <f t="shared" si="6"/>
        <v>1</v>
      </c>
      <c r="S30" s="40">
        <f t="shared" si="6"/>
        <v>1</v>
      </c>
      <c r="T30" s="40">
        <f t="shared" si="6"/>
        <v>1</v>
      </c>
      <c r="U30" s="40">
        <f t="shared" si="6"/>
        <v>1</v>
      </c>
      <c r="V30" s="40">
        <f t="shared" si="6"/>
        <v>1</v>
      </c>
      <c r="W30" s="40">
        <f t="shared" si="6"/>
        <v>1</v>
      </c>
      <c r="X30" s="40">
        <f t="shared" si="6"/>
        <v>1</v>
      </c>
      <c r="Y30" s="40">
        <f t="shared" si="6"/>
        <v>1</v>
      </c>
      <c r="Z30" s="40">
        <f t="shared" si="6"/>
        <v>1</v>
      </c>
      <c r="AA30" s="40">
        <f t="shared" si="6"/>
        <v>1</v>
      </c>
      <c r="AB30" s="40">
        <f t="shared" si="6"/>
        <v>1</v>
      </c>
      <c r="AC30" s="40">
        <f t="shared" si="6"/>
        <v>1</v>
      </c>
      <c r="AD30" s="40">
        <f t="shared" si="6"/>
        <v>1</v>
      </c>
    </row>
    <row r="31" spans="1:30" ht="42" customHeight="1">
      <c r="B31" s="42">
        <v>6</v>
      </c>
      <c r="C31" s="40">
        <f t="shared" ref="C31" si="11">IF(C8=1,1,0)</f>
        <v>0</v>
      </c>
      <c r="D31" s="40">
        <f t="shared" si="6"/>
        <v>0</v>
      </c>
      <c r="E31" s="40">
        <f t="shared" si="6"/>
        <v>0</v>
      </c>
      <c r="F31" s="40">
        <f t="shared" si="6"/>
        <v>0</v>
      </c>
      <c r="G31" s="40">
        <f t="shared" si="6"/>
        <v>0</v>
      </c>
      <c r="H31" s="40">
        <f t="shared" si="6"/>
        <v>0</v>
      </c>
      <c r="I31" s="40">
        <f t="shared" si="6"/>
        <v>0</v>
      </c>
      <c r="J31" s="40">
        <f>IF(C8=1,1,0)</f>
        <v>0</v>
      </c>
      <c r="K31" s="40">
        <f t="shared" si="6"/>
        <v>0</v>
      </c>
      <c r="L31" s="40">
        <f t="shared" si="6"/>
        <v>0</v>
      </c>
      <c r="M31" s="40">
        <f t="shared" si="6"/>
        <v>0</v>
      </c>
      <c r="N31" s="40">
        <f t="shared" si="6"/>
        <v>0</v>
      </c>
      <c r="O31" s="40">
        <f t="shared" si="6"/>
        <v>0</v>
      </c>
      <c r="P31" s="40">
        <f t="shared" si="6"/>
        <v>0</v>
      </c>
      <c r="Q31" s="40">
        <f t="shared" si="6"/>
        <v>0</v>
      </c>
      <c r="R31" s="40">
        <f t="shared" si="6"/>
        <v>1</v>
      </c>
      <c r="S31" s="40">
        <f t="shared" si="6"/>
        <v>1</v>
      </c>
      <c r="T31" s="40">
        <f t="shared" si="6"/>
        <v>1</v>
      </c>
      <c r="U31" s="40">
        <f t="shared" si="6"/>
        <v>1</v>
      </c>
      <c r="V31" s="40">
        <f t="shared" si="6"/>
        <v>0</v>
      </c>
      <c r="W31" s="40">
        <f t="shared" si="6"/>
        <v>0</v>
      </c>
      <c r="X31" s="40">
        <f t="shared" si="6"/>
        <v>0</v>
      </c>
      <c r="Y31" s="40">
        <f t="shared" si="6"/>
        <v>0</v>
      </c>
      <c r="Z31" s="40">
        <f t="shared" si="6"/>
        <v>0</v>
      </c>
      <c r="AA31" s="40">
        <f t="shared" si="6"/>
        <v>0</v>
      </c>
      <c r="AB31" s="40">
        <f t="shared" si="6"/>
        <v>0</v>
      </c>
      <c r="AC31" s="40">
        <f t="shared" si="6"/>
        <v>0</v>
      </c>
      <c r="AD31" s="40">
        <f t="shared" si="6"/>
        <v>0</v>
      </c>
    </row>
    <row r="32" spans="1:30" ht="42" customHeight="1">
      <c r="B32" s="42">
        <v>7</v>
      </c>
      <c r="C32" s="40">
        <f t="shared" ref="C32" si="12">IF(C9=1,1,0)</f>
        <v>0</v>
      </c>
      <c r="D32" s="40">
        <f t="shared" si="6"/>
        <v>1</v>
      </c>
      <c r="E32" s="40">
        <f t="shared" si="6"/>
        <v>1</v>
      </c>
      <c r="F32" s="40">
        <f t="shared" si="6"/>
        <v>1</v>
      </c>
      <c r="G32" s="40">
        <f t="shared" si="6"/>
        <v>1</v>
      </c>
      <c r="H32" s="40">
        <f t="shared" si="6"/>
        <v>0</v>
      </c>
      <c r="I32" s="40">
        <f t="shared" si="6"/>
        <v>0</v>
      </c>
      <c r="J32" s="40">
        <f t="shared" si="6"/>
        <v>0</v>
      </c>
      <c r="K32" s="40">
        <f t="shared" si="6"/>
        <v>1</v>
      </c>
      <c r="L32" s="40">
        <f t="shared" si="6"/>
        <v>1</v>
      </c>
      <c r="M32" s="40">
        <f t="shared" si="6"/>
        <v>1</v>
      </c>
      <c r="N32" s="40">
        <f t="shared" si="6"/>
        <v>1</v>
      </c>
      <c r="O32" s="40">
        <f t="shared" si="6"/>
        <v>1</v>
      </c>
      <c r="P32" s="40">
        <f t="shared" si="6"/>
        <v>1</v>
      </c>
      <c r="Q32" s="40">
        <f t="shared" si="6"/>
        <v>1</v>
      </c>
      <c r="R32" s="40">
        <f t="shared" si="6"/>
        <v>1</v>
      </c>
      <c r="S32" s="40">
        <f t="shared" si="6"/>
        <v>1</v>
      </c>
      <c r="T32" s="40">
        <f t="shared" si="6"/>
        <v>1</v>
      </c>
      <c r="U32" s="40">
        <f t="shared" si="6"/>
        <v>1</v>
      </c>
      <c r="V32" s="40">
        <f t="shared" si="6"/>
        <v>1</v>
      </c>
      <c r="W32" s="40">
        <f t="shared" si="6"/>
        <v>1</v>
      </c>
      <c r="X32" s="40">
        <f t="shared" si="6"/>
        <v>1</v>
      </c>
      <c r="Y32" s="40">
        <f t="shared" si="6"/>
        <v>1</v>
      </c>
      <c r="Z32" s="40">
        <f t="shared" si="6"/>
        <v>1</v>
      </c>
      <c r="AA32" s="40">
        <f t="shared" si="6"/>
        <v>1</v>
      </c>
      <c r="AB32" s="40">
        <f t="shared" si="6"/>
        <v>1</v>
      </c>
      <c r="AC32" s="40">
        <f t="shared" si="6"/>
        <v>1</v>
      </c>
      <c r="AD32" s="40">
        <f t="shared" si="6"/>
        <v>1</v>
      </c>
    </row>
    <row r="33" spans="2:30" ht="42" customHeight="1">
      <c r="B33" s="42">
        <v>8</v>
      </c>
      <c r="C33" s="40">
        <f t="shared" ref="C33" si="13">IF(C10=1,1,0)</f>
        <v>1</v>
      </c>
      <c r="D33" s="40">
        <f t="shared" si="6"/>
        <v>1</v>
      </c>
      <c r="E33" s="40">
        <f t="shared" si="6"/>
        <v>1</v>
      </c>
      <c r="F33" s="40">
        <f t="shared" si="6"/>
        <v>1</v>
      </c>
      <c r="G33" s="40">
        <f t="shared" si="6"/>
        <v>1</v>
      </c>
      <c r="H33" s="40">
        <f t="shared" si="6"/>
        <v>0</v>
      </c>
      <c r="I33" s="40">
        <f t="shared" si="6"/>
        <v>0</v>
      </c>
      <c r="J33" s="40">
        <f t="shared" si="6"/>
        <v>0</v>
      </c>
      <c r="K33" s="40">
        <f t="shared" si="6"/>
        <v>1</v>
      </c>
      <c r="L33" s="40">
        <f t="shared" si="6"/>
        <v>1</v>
      </c>
      <c r="M33" s="40">
        <f t="shared" si="6"/>
        <v>1</v>
      </c>
      <c r="N33" s="40">
        <f t="shared" si="6"/>
        <v>1</v>
      </c>
      <c r="O33" s="40">
        <f t="shared" si="6"/>
        <v>1</v>
      </c>
      <c r="P33" s="40">
        <f t="shared" si="6"/>
        <v>1</v>
      </c>
      <c r="Q33" s="40">
        <f t="shared" si="6"/>
        <v>1</v>
      </c>
      <c r="R33" s="40">
        <f t="shared" si="6"/>
        <v>1</v>
      </c>
      <c r="S33" s="40">
        <f t="shared" si="6"/>
        <v>1</v>
      </c>
      <c r="T33" s="40">
        <f t="shared" si="6"/>
        <v>1</v>
      </c>
      <c r="U33" s="40">
        <f t="shared" si="6"/>
        <v>1</v>
      </c>
      <c r="V33" s="40">
        <f t="shared" si="6"/>
        <v>1</v>
      </c>
      <c r="W33" s="40">
        <f t="shared" si="6"/>
        <v>1</v>
      </c>
      <c r="X33" s="40">
        <f t="shared" si="6"/>
        <v>1</v>
      </c>
      <c r="Y33" s="40">
        <f t="shared" si="6"/>
        <v>1</v>
      </c>
      <c r="Z33" s="40">
        <f t="shared" si="6"/>
        <v>1</v>
      </c>
      <c r="AA33" s="40">
        <f t="shared" si="6"/>
        <v>1</v>
      </c>
      <c r="AB33" s="40">
        <f t="shared" si="6"/>
        <v>1</v>
      </c>
      <c r="AC33" s="40">
        <f t="shared" si="6"/>
        <v>1</v>
      </c>
      <c r="AD33" s="40">
        <f t="shared" si="6"/>
        <v>1</v>
      </c>
    </row>
    <row r="34" spans="2:30" ht="42" customHeight="1">
      <c r="B34" s="43">
        <v>9</v>
      </c>
      <c r="C34" s="40">
        <f t="shared" ref="C34" si="14">IF(C11=1,1,0)</f>
        <v>0</v>
      </c>
      <c r="D34" s="40">
        <f t="shared" si="6"/>
        <v>1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40">
        <f t="shared" si="6"/>
        <v>0</v>
      </c>
      <c r="I34" s="40">
        <f t="shared" si="6"/>
        <v>0</v>
      </c>
      <c r="J34" s="40">
        <f t="shared" ref="J34:AD34" si="15">IF(J11=1,1,0)</f>
        <v>0</v>
      </c>
      <c r="K34" s="40">
        <f t="shared" si="15"/>
        <v>0</v>
      </c>
      <c r="L34" s="40">
        <f t="shared" si="15"/>
        <v>1</v>
      </c>
      <c r="M34" s="40">
        <f t="shared" si="15"/>
        <v>1</v>
      </c>
      <c r="N34" s="40">
        <f t="shared" si="15"/>
        <v>0</v>
      </c>
      <c r="O34" s="40">
        <f t="shared" si="15"/>
        <v>0</v>
      </c>
      <c r="P34" s="40">
        <f t="shared" si="15"/>
        <v>0</v>
      </c>
      <c r="Q34" s="40">
        <f t="shared" si="15"/>
        <v>0</v>
      </c>
      <c r="R34" s="40">
        <f t="shared" si="15"/>
        <v>1</v>
      </c>
      <c r="S34" s="40">
        <f t="shared" si="15"/>
        <v>0</v>
      </c>
      <c r="T34" s="40">
        <f t="shared" si="15"/>
        <v>0</v>
      </c>
      <c r="U34" s="40">
        <f t="shared" si="15"/>
        <v>0</v>
      </c>
      <c r="V34" s="40">
        <f t="shared" si="15"/>
        <v>0</v>
      </c>
      <c r="W34" s="40">
        <f t="shared" si="15"/>
        <v>0</v>
      </c>
      <c r="X34" s="40">
        <f t="shared" si="15"/>
        <v>0</v>
      </c>
      <c r="Y34" s="40">
        <f t="shared" si="15"/>
        <v>0</v>
      </c>
      <c r="Z34" s="40">
        <f t="shared" si="15"/>
        <v>0</v>
      </c>
      <c r="AA34" s="40">
        <f t="shared" si="15"/>
        <v>0</v>
      </c>
      <c r="AB34" s="40">
        <f t="shared" si="15"/>
        <v>0</v>
      </c>
      <c r="AC34" s="40">
        <f t="shared" si="15"/>
        <v>0</v>
      </c>
      <c r="AD34" s="40">
        <f t="shared" si="15"/>
        <v>0</v>
      </c>
    </row>
    <row r="35" spans="2:30" ht="42" customHeight="1">
      <c r="B35" s="44">
        <v>10</v>
      </c>
      <c r="C35" s="40">
        <f t="shared" ref="C35" si="16">IF(C12=1,1,0)</f>
        <v>0</v>
      </c>
      <c r="D35" s="40">
        <f t="shared" ref="D35:AD38" si="17">IF(D12=1,1,0)</f>
        <v>0</v>
      </c>
      <c r="E35" s="40">
        <f t="shared" si="17"/>
        <v>0</v>
      </c>
      <c r="F35" s="40">
        <f t="shared" si="17"/>
        <v>0</v>
      </c>
      <c r="G35" s="40">
        <f t="shared" si="17"/>
        <v>0</v>
      </c>
      <c r="H35" s="40">
        <f t="shared" si="17"/>
        <v>0</v>
      </c>
      <c r="I35" s="40">
        <f t="shared" si="17"/>
        <v>0</v>
      </c>
      <c r="J35" s="40">
        <f t="shared" si="17"/>
        <v>0</v>
      </c>
      <c r="K35" s="40">
        <f t="shared" si="17"/>
        <v>0</v>
      </c>
      <c r="L35" s="40">
        <f t="shared" si="17"/>
        <v>0</v>
      </c>
      <c r="M35" s="40">
        <f t="shared" si="17"/>
        <v>1</v>
      </c>
      <c r="N35" s="40">
        <f t="shared" si="17"/>
        <v>1</v>
      </c>
      <c r="O35" s="40">
        <f t="shared" si="17"/>
        <v>1</v>
      </c>
      <c r="P35" s="40">
        <f t="shared" si="17"/>
        <v>1</v>
      </c>
      <c r="Q35" s="40">
        <f t="shared" si="17"/>
        <v>1</v>
      </c>
      <c r="R35" s="40">
        <f t="shared" si="17"/>
        <v>1</v>
      </c>
      <c r="S35" s="40">
        <f t="shared" si="17"/>
        <v>1</v>
      </c>
      <c r="T35" s="40">
        <f t="shared" si="17"/>
        <v>1</v>
      </c>
      <c r="U35" s="40">
        <f t="shared" si="17"/>
        <v>1</v>
      </c>
      <c r="V35" s="40">
        <f t="shared" si="17"/>
        <v>1</v>
      </c>
      <c r="W35" s="40">
        <f t="shared" si="17"/>
        <v>1</v>
      </c>
      <c r="X35" s="40">
        <f t="shared" si="17"/>
        <v>1</v>
      </c>
      <c r="Y35" s="40">
        <f t="shared" si="17"/>
        <v>1</v>
      </c>
      <c r="Z35" s="40">
        <f t="shared" si="17"/>
        <v>1</v>
      </c>
      <c r="AA35" s="40">
        <f t="shared" si="17"/>
        <v>1</v>
      </c>
      <c r="AB35" s="40">
        <f t="shared" si="17"/>
        <v>1</v>
      </c>
      <c r="AC35" s="40">
        <f t="shared" si="17"/>
        <v>1</v>
      </c>
      <c r="AD35" s="40">
        <f t="shared" si="17"/>
        <v>1</v>
      </c>
    </row>
    <row r="36" spans="2:30" ht="42" customHeight="1">
      <c r="B36" s="44">
        <v>11</v>
      </c>
      <c r="C36" s="40">
        <f t="shared" ref="C36" si="18">IF(C13=1,1,0)</f>
        <v>0</v>
      </c>
      <c r="D36" s="40">
        <f t="shared" si="17"/>
        <v>0</v>
      </c>
      <c r="E36" s="40">
        <f t="shared" si="17"/>
        <v>0</v>
      </c>
      <c r="F36" s="40">
        <f t="shared" si="17"/>
        <v>0</v>
      </c>
      <c r="G36" s="40">
        <f t="shared" si="17"/>
        <v>1</v>
      </c>
      <c r="H36" s="40">
        <f t="shared" si="17"/>
        <v>1</v>
      </c>
      <c r="I36" s="40">
        <f t="shared" si="17"/>
        <v>1</v>
      </c>
      <c r="J36" s="40">
        <f t="shared" si="17"/>
        <v>1</v>
      </c>
      <c r="K36" s="40">
        <f t="shared" si="17"/>
        <v>1</v>
      </c>
      <c r="L36" s="40">
        <f t="shared" si="17"/>
        <v>1</v>
      </c>
      <c r="M36" s="40">
        <f t="shared" si="17"/>
        <v>1</v>
      </c>
      <c r="N36" s="40">
        <f t="shared" si="17"/>
        <v>1</v>
      </c>
      <c r="O36" s="40">
        <f t="shared" si="17"/>
        <v>1</v>
      </c>
      <c r="P36" s="40">
        <f t="shared" si="17"/>
        <v>1</v>
      </c>
      <c r="Q36" s="40">
        <f t="shared" si="17"/>
        <v>1</v>
      </c>
      <c r="R36" s="40">
        <f t="shared" si="17"/>
        <v>1</v>
      </c>
      <c r="S36" s="40">
        <f t="shared" si="17"/>
        <v>1</v>
      </c>
      <c r="T36" s="40">
        <f t="shared" si="17"/>
        <v>1</v>
      </c>
      <c r="U36" s="40">
        <f t="shared" si="17"/>
        <v>1</v>
      </c>
      <c r="V36" s="40">
        <f t="shared" si="17"/>
        <v>1</v>
      </c>
      <c r="W36" s="40">
        <f t="shared" si="17"/>
        <v>1</v>
      </c>
      <c r="X36" s="40">
        <f t="shared" si="17"/>
        <v>1</v>
      </c>
      <c r="Y36" s="40">
        <f t="shared" si="17"/>
        <v>1</v>
      </c>
      <c r="Z36" s="40">
        <f t="shared" si="17"/>
        <v>1</v>
      </c>
      <c r="AA36" s="40">
        <f t="shared" si="17"/>
        <v>1</v>
      </c>
      <c r="AB36" s="40">
        <f t="shared" si="17"/>
        <v>1</v>
      </c>
      <c r="AC36" s="40">
        <f t="shared" si="17"/>
        <v>1</v>
      </c>
      <c r="AD36" s="40">
        <f t="shared" si="17"/>
        <v>1</v>
      </c>
    </row>
    <row r="37" spans="2:30" ht="42" customHeight="1">
      <c r="B37" s="42">
        <v>12</v>
      </c>
      <c r="C37" s="40">
        <f t="shared" ref="C37" si="19">IF(C14=1,1,0)</f>
        <v>0</v>
      </c>
      <c r="D37" s="40">
        <f t="shared" si="17"/>
        <v>1</v>
      </c>
      <c r="E37" s="40">
        <f t="shared" si="17"/>
        <v>1</v>
      </c>
      <c r="F37" s="40">
        <f t="shared" si="17"/>
        <v>1</v>
      </c>
      <c r="G37" s="40">
        <f t="shared" si="17"/>
        <v>1</v>
      </c>
      <c r="H37" s="40">
        <f t="shared" si="17"/>
        <v>1</v>
      </c>
      <c r="I37" s="40">
        <f t="shared" si="17"/>
        <v>1</v>
      </c>
      <c r="J37" s="40">
        <f t="shared" si="17"/>
        <v>1</v>
      </c>
      <c r="K37" s="40">
        <f t="shared" si="17"/>
        <v>1</v>
      </c>
      <c r="L37" s="40">
        <f t="shared" si="17"/>
        <v>1</v>
      </c>
      <c r="M37" s="40">
        <f t="shared" si="17"/>
        <v>1</v>
      </c>
      <c r="N37" s="40">
        <f t="shared" si="17"/>
        <v>1</v>
      </c>
      <c r="O37" s="40">
        <f t="shared" si="17"/>
        <v>1</v>
      </c>
      <c r="P37" s="40">
        <f t="shared" si="17"/>
        <v>1</v>
      </c>
      <c r="Q37" s="40">
        <f t="shared" si="17"/>
        <v>1</v>
      </c>
      <c r="R37" s="40">
        <f t="shared" si="17"/>
        <v>1</v>
      </c>
      <c r="S37" s="40">
        <f t="shared" si="17"/>
        <v>1</v>
      </c>
      <c r="T37" s="40">
        <f t="shared" si="17"/>
        <v>1</v>
      </c>
      <c r="U37" s="40">
        <f t="shared" si="17"/>
        <v>1</v>
      </c>
      <c r="V37" s="40">
        <f t="shared" si="17"/>
        <v>1</v>
      </c>
      <c r="W37" s="40">
        <f t="shared" si="17"/>
        <v>1</v>
      </c>
      <c r="X37" s="40">
        <f t="shared" si="17"/>
        <v>1</v>
      </c>
      <c r="Y37" s="40">
        <f t="shared" si="17"/>
        <v>1</v>
      </c>
      <c r="Z37" s="40">
        <f t="shared" si="17"/>
        <v>1</v>
      </c>
      <c r="AA37" s="40">
        <f t="shared" si="17"/>
        <v>1</v>
      </c>
      <c r="AB37" s="40">
        <f t="shared" si="17"/>
        <v>1</v>
      </c>
      <c r="AC37" s="40">
        <f t="shared" si="17"/>
        <v>1</v>
      </c>
      <c r="AD37" s="40">
        <f t="shared" si="17"/>
        <v>1</v>
      </c>
    </row>
    <row r="38" spans="2:30" ht="42" customHeight="1">
      <c r="B38" s="45" t="s">
        <v>111</v>
      </c>
      <c r="C38" s="40">
        <f t="shared" ref="C38" si="20">IF(C15=1,1,0)</f>
        <v>0</v>
      </c>
      <c r="D38" s="40">
        <f t="shared" si="17"/>
        <v>0</v>
      </c>
      <c r="E38" s="40">
        <f t="shared" si="17"/>
        <v>1</v>
      </c>
      <c r="F38" s="40">
        <f t="shared" si="17"/>
        <v>1</v>
      </c>
      <c r="G38" s="40">
        <f t="shared" si="17"/>
        <v>1</v>
      </c>
      <c r="H38" s="40">
        <f t="shared" si="17"/>
        <v>1</v>
      </c>
      <c r="I38" s="40">
        <f t="shared" si="17"/>
        <v>0</v>
      </c>
      <c r="J38" s="40">
        <f t="shared" si="17"/>
        <v>0</v>
      </c>
      <c r="K38" s="40">
        <f t="shared" si="17"/>
        <v>0</v>
      </c>
      <c r="L38" s="40">
        <f t="shared" si="17"/>
        <v>1</v>
      </c>
      <c r="M38" s="40">
        <f t="shared" si="17"/>
        <v>1</v>
      </c>
      <c r="N38" s="40">
        <f t="shared" si="17"/>
        <v>1</v>
      </c>
      <c r="O38" s="40">
        <f t="shared" si="17"/>
        <v>1</v>
      </c>
      <c r="P38" s="40">
        <f t="shared" si="17"/>
        <v>1</v>
      </c>
      <c r="Q38" s="40">
        <f t="shared" si="17"/>
        <v>1</v>
      </c>
      <c r="R38" s="40">
        <f t="shared" si="17"/>
        <v>1</v>
      </c>
      <c r="S38" s="40">
        <f t="shared" si="17"/>
        <v>1</v>
      </c>
      <c r="T38" s="40">
        <f t="shared" si="17"/>
        <v>1</v>
      </c>
      <c r="U38" s="40">
        <f t="shared" si="17"/>
        <v>1</v>
      </c>
      <c r="V38" s="40">
        <f t="shared" si="17"/>
        <v>0</v>
      </c>
      <c r="W38" s="40">
        <f t="shared" si="17"/>
        <v>0</v>
      </c>
      <c r="X38" s="40">
        <f t="shared" si="17"/>
        <v>0</v>
      </c>
      <c r="Y38" s="40">
        <f t="shared" si="17"/>
        <v>0</v>
      </c>
      <c r="Z38" s="40">
        <f t="shared" si="17"/>
        <v>1</v>
      </c>
      <c r="AA38" s="40">
        <f t="shared" si="17"/>
        <v>1</v>
      </c>
      <c r="AB38" s="40">
        <f t="shared" si="17"/>
        <v>1</v>
      </c>
      <c r="AC38" s="40">
        <f t="shared" si="17"/>
        <v>1</v>
      </c>
      <c r="AD38" s="40">
        <f t="shared" si="17"/>
        <v>1</v>
      </c>
    </row>
  </sheetData>
  <mergeCells count="21">
    <mergeCell ref="Z3:AD4"/>
    <mergeCell ref="Z8:AD8"/>
    <mergeCell ref="S11:AD11"/>
    <mergeCell ref="O8:Q8"/>
    <mergeCell ref="V15:Y15"/>
    <mergeCell ref="M3:O4"/>
    <mergeCell ref="S5:V5"/>
    <mergeCell ref="C8:N8"/>
    <mergeCell ref="N11:Q11"/>
    <mergeCell ref="V8:Y8"/>
    <mergeCell ref="H9:J10"/>
    <mergeCell ref="C15:D15"/>
    <mergeCell ref="M5:P5"/>
    <mergeCell ref="M6:P6"/>
    <mergeCell ref="D4:F4"/>
    <mergeCell ref="J4:L4"/>
    <mergeCell ref="S3:U3"/>
    <mergeCell ref="C3:I3"/>
    <mergeCell ref="C13:F13"/>
    <mergeCell ref="E11:K11"/>
    <mergeCell ref="C5:E5"/>
  </mergeCells>
  <conditionalFormatting sqref="C17:AD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1CD5-AD6F-4341-803F-644CBEBDF662}">
  <dimension ref="A1"/>
  <sheetViews>
    <sheetView topLeftCell="A8" workbookViewId="0">
      <selection activeCell="R9" sqref="R9"/>
    </sheetView>
  </sheetViews>
  <sheetFormatPr defaultRowHeight="12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2012-12-20T12:20:30Z</dcterms:created>
  <dcterms:modified xsi:type="dcterms:W3CDTF">2026-04-21T08:11:34Z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2022-10-15T01:18:35Z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22b2f09d-6b42-46dc-8492-f658161c7163</vt:lpwstr>
  </property>
  <property fmtid="{D5CDD505-2E9C-101B-9397-08002B2CF9AE}" pid="8" name="MSIP_Label_282ec11f-0307-4ba2-9c7f-1e910abb2b8a_ContentBits">
    <vt:lpwstr>0</vt:lpwstr>
  </property>
</Properties>
</file>